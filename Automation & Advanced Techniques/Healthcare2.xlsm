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LARES\Documents\"/>
    </mc:Choice>
  </mc:AlternateContent>
  <xr:revisionPtr revIDLastSave="0" documentId="13_ncr:1_{413777ED-5EA5-4649-8402-39DB30F7CF19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Event Data" sheetId="1" r:id="rId1"/>
    <sheet name="Projections" sheetId="5" r:id="rId2"/>
    <sheet name="Pivot tables and Charts" sheetId="8" state="hidden" r:id="rId3"/>
    <sheet name="Event Dashboard" sheetId="6" r:id="rId4"/>
  </sheets>
  <definedNames>
    <definedName name="_xlnm._FilterDatabase" localSheetId="0" hidden="1">'Event Data'!$A$1:$H$101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7" roundtripDataChecksum="12vlSWq8ZfqZzDFEmFhuqueMtYU2rPg3dxhMX10QuCQ="/>
    </ext>
  </extLst>
</workbook>
</file>

<file path=xl/calcChain.xml><?xml version="1.0" encoding="utf-8"?>
<calcChain xmlns="http://schemas.openxmlformats.org/spreadsheetml/2006/main">
  <c r="F9" i="6" l="1"/>
  <c r="F10" i="6" s="1"/>
  <c r="H28" i="5"/>
  <c r="H29" i="5"/>
  <c r="H30" i="5"/>
  <c r="H31" i="5"/>
  <c r="H32" i="5"/>
  <c r="H33" i="5"/>
  <c r="H34" i="5"/>
  <c r="F3" i="5"/>
  <c r="I3" i="5" s="1"/>
  <c r="F4" i="5"/>
  <c r="H4" i="5" s="1"/>
  <c r="F5" i="5"/>
  <c r="H5" i="5" s="1"/>
  <c r="F6" i="5"/>
  <c r="H6" i="5" s="1"/>
  <c r="F7" i="5"/>
  <c r="I7" i="5" s="1"/>
  <c r="F8" i="5"/>
  <c r="H8" i="5" s="1"/>
  <c r="F9" i="5"/>
  <c r="H9" i="5" s="1"/>
  <c r="F10" i="5"/>
  <c r="H10" i="5" s="1"/>
  <c r="F11" i="5"/>
  <c r="I11" i="5" s="1"/>
  <c r="F12" i="5"/>
  <c r="H12" i="5" s="1"/>
  <c r="F13" i="5"/>
  <c r="H13" i="5" s="1"/>
  <c r="F14" i="5"/>
  <c r="H14" i="5" s="1"/>
  <c r="F15" i="5"/>
  <c r="I15" i="5" s="1"/>
  <c r="F16" i="5"/>
  <c r="H16" i="5" s="1"/>
  <c r="F17" i="5"/>
  <c r="H17" i="5" s="1"/>
  <c r="F18" i="5"/>
  <c r="H18" i="5" s="1"/>
  <c r="F19" i="5"/>
  <c r="I19" i="5" s="1"/>
  <c r="F20" i="5"/>
  <c r="H20" i="5" s="1"/>
  <c r="F21" i="5"/>
  <c r="H21" i="5" s="1"/>
  <c r="F22" i="5"/>
  <c r="H22" i="5" s="1"/>
  <c r="F23" i="5"/>
  <c r="I23" i="5" s="1"/>
  <c r="F24" i="5"/>
  <c r="H24" i="5" s="1"/>
  <c r="F25" i="5"/>
  <c r="H25" i="5" s="1"/>
  <c r="F26" i="5"/>
  <c r="H26" i="5" s="1"/>
  <c r="F2" i="5"/>
  <c r="H2" i="5" s="1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9" i="5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C8" i="6"/>
  <c r="C7" i="6"/>
  <c r="C6" i="6"/>
  <c r="G29" i="5"/>
  <c r="G31" i="5"/>
  <c r="G34" i="5"/>
  <c r="G33" i="5"/>
  <c r="G28" i="5"/>
  <c r="G30" i="5"/>
  <c r="G32" i="5"/>
  <c r="G27" i="5"/>
  <c r="I27" i="5" l="1"/>
  <c r="H27" i="5"/>
  <c r="I32" i="5"/>
  <c r="I30" i="5"/>
  <c r="I28" i="5"/>
  <c r="I33" i="5"/>
  <c r="I34" i="5"/>
  <c r="I31" i="5"/>
  <c r="I29" i="5"/>
  <c r="I26" i="5"/>
  <c r="I22" i="5"/>
  <c r="I18" i="5"/>
  <c r="I14" i="5"/>
  <c r="I10" i="5"/>
  <c r="I6" i="5"/>
  <c r="I2" i="5"/>
  <c r="H23" i="5"/>
  <c r="H19" i="5"/>
  <c r="H15" i="5"/>
  <c r="H11" i="5"/>
  <c r="H7" i="5"/>
  <c r="H3" i="5"/>
  <c r="I25" i="5"/>
  <c r="I21" i="5"/>
  <c r="I17" i="5"/>
  <c r="I13" i="5"/>
  <c r="I9" i="5"/>
  <c r="I5" i="5"/>
  <c r="I24" i="5"/>
  <c r="I20" i="5"/>
  <c r="I16" i="5"/>
  <c r="I12" i="5"/>
  <c r="I8" i="5"/>
  <c r="I4" i="5"/>
</calcChain>
</file>

<file path=xl/sharedStrings.xml><?xml version="1.0" encoding="utf-8"?>
<sst xmlns="http://schemas.openxmlformats.org/spreadsheetml/2006/main" count="804" uniqueCount="373">
  <si>
    <t>Name</t>
  </si>
  <si>
    <t>Email</t>
  </si>
  <si>
    <t>Session Preference</t>
  </si>
  <si>
    <t>Attendance Type</t>
  </si>
  <si>
    <t>Workshops</t>
  </si>
  <si>
    <t>Dietary Preference</t>
  </si>
  <si>
    <t>Registration Date</t>
  </si>
  <si>
    <t>A0001</t>
  </si>
  <si>
    <t>Katherine Lewis</t>
  </si>
  <si>
    <t>michaelcole@gmail.com</t>
  </si>
  <si>
    <t>Technology</t>
  </si>
  <si>
    <t>In-Person</t>
  </si>
  <si>
    <t>None</t>
  </si>
  <si>
    <t>Vegetarian</t>
  </si>
  <si>
    <t>A0002</t>
  </si>
  <si>
    <t>Joshua Stephens</t>
  </si>
  <si>
    <t>erin02@robinson-moody.biz</t>
  </si>
  <si>
    <t>Marketing</t>
  </si>
  <si>
    <t>Workshop C</t>
  </si>
  <si>
    <t>Gluten-Free</t>
  </si>
  <si>
    <t>A0003</t>
  </si>
  <si>
    <t>Gabrielle Jennings</t>
  </si>
  <si>
    <t>william93@yahoo.com</t>
  </si>
  <si>
    <t>Leadership</t>
  </si>
  <si>
    <t>Online</t>
  </si>
  <si>
    <t>A0004</t>
  </si>
  <si>
    <t>Tina Carrillo</t>
  </si>
  <si>
    <t>marygarcia@gutierrez-tyler.com</t>
  </si>
  <si>
    <t>Workshop A</t>
  </si>
  <si>
    <t>A0005</t>
  </si>
  <si>
    <t>Bryan Hamilton</t>
  </si>
  <si>
    <t>antonio90@yahoo.com</t>
  </si>
  <si>
    <t>Workshop B</t>
  </si>
  <si>
    <t>Vegan</t>
  </si>
  <si>
    <t>A0006</t>
  </si>
  <si>
    <t>Tina Williams</t>
  </si>
  <si>
    <t>bmoore@gmail.com</t>
  </si>
  <si>
    <t>A0007</t>
  </si>
  <si>
    <t>Rebecca Tate</t>
  </si>
  <si>
    <t>millerfrank@gmail.com</t>
  </si>
  <si>
    <t>A0008</t>
  </si>
  <si>
    <t>Curtis Ortiz</t>
  </si>
  <si>
    <t>Non-Vegetarian</t>
  </si>
  <si>
    <t>A0009</t>
  </si>
  <si>
    <t>Christopher Burns</t>
  </si>
  <si>
    <t>brianna75@hotmail.com</t>
  </si>
  <si>
    <t>A0010</t>
  </si>
  <si>
    <t>Bethany Turner</t>
  </si>
  <si>
    <t>johnbullock@hotmail.com</t>
  </si>
  <si>
    <t>A0011</t>
  </si>
  <si>
    <t>Kimberly Anderson</t>
  </si>
  <si>
    <t>jenniferclark@yahoo.com</t>
  </si>
  <si>
    <t>A0012</t>
  </si>
  <si>
    <t>Timothy Butler</t>
  </si>
  <si>
    <t>ujennings@day.biz</t>
  </si>
  <si>
    <t>A0013</t>
  </si>
  <si>
    <t>Gloria Ryan</t>
  </si>
  <si>
    <t>michelemyers@hall-coleman.com</t>
  </si>
  <si>
    <t>A0014</t>
  </si>
  <si>
    <t>Darin Hampton</t>
  </si>
  <si>
    <t>bthornton@tran.com</t>
  </si>
  <si>
    <t>A0015</t>
  </si>
  <si>
    <t>Neil Lester</t>
  </si>
  <si>
    <t>miguelkim@harrington.com</t>
  </si>
  <si>
    <t>A0016</t>
  </si>
  <si>
    <t>Barbara Dominguez</t>
  </si>
  <si>
    <t>volson@jones-watts.com</t>
  </si>
  <si>
    <t>A0017</t>
  </si>
  <si>
    <t>David Williams</t>
  </si>
  <si>
    <t>hollymeadows@davis-allison.net</t>
  </si>
  <si>
    <t>A0018</t>
  </si>
  <si>
    <t>Nancy Lee</t>
  </si>
  <si>
    <t>stephen94@hotmail.com</t>
  </si>
  <si>
    <t>A0019</t>
  </si>
  <si>
    <t>Oscar Fowler</t>
  </si>
  <si>
    <t>uhayden@yahoo.com</t>
  </si>
  <si>
    <t>A0020</t>
  </si>
  <si>
    <t>Amy Miller</t>
  </si>
  <si>
    <t>susan21@yahoo.com</t>
  </si>
  <si>
    <t>A0021</t>
  </si>
  <si>
    <t>Lydia Mcdonald</t>
  </si>
  <si>
    <t>peggyfriedman@yahoo.com</t>
  </si>
  <si>
    <t>A0022</t>
  </si>
  <si>
    <t>Emily Mcdonald</t>
  </si>
  <si>
    <t>iwebb@mullins.com</t>
  </si>
  <si>
    <t>A0023</t>
  </si>
  <si>
    <t>Carolyn Graves</t>
  </si>
  <si>
    <t>brookenavarro@hotmail.com</t>
  </si>
  <si>
    <t>A0024</t>
  </si>
  <si>
    <t>Linda White</t>
  </si>
  <si>
    <t>nancy35@yahoo.com</t>
  </si>
  <si>
    <t>A0025</t>
  </si>
  <si>
    <t>Andrew Becker</t>
  </si>
  <si>
    <t>jeffreyshepherd@yahoo.com</t>
  </si>
  <si>
    <t>A0026</t>
  </si>
  <si>
    <t>Regina Zimmerman</t>
  </si>
  <si>
    <t>martindarrell@todd.com</t>
  </si>
  <si>
    <t>A0027</t>
  </si>
  <si>
    <t>Meagan Wheeler</t>
  </si>
  <si>
    <t>rsmith@schmidt.com</t>
  </si>
  <si>
    <t>A0028</t>
  </si>
  <si>
    <t>Lisa Green</t>
  </si>
  <si>
    <t>anthony55@gmail.com</t>
  </si>
  <si>
    <t>A0029</t>
  </si>
  <si>
    <t>Tammy Brown</t>
  </si>
  <si>
    <t>brittany10@williams-smith.com</t>
  </si>
  <si>
    <t>A0030</t>
  </si>
  <si>
    <t>Debbie Bryant MD</t>
  </si>
  <si>
    <t>kjohnson@yahoo.com</t>
  </si>
  <si>
    <t>A0031</t>
  </si>
  <si>
    <t>Felicia Parker</t>
  </si>
  <si>
    <t>jeffreyrivera@watkins.com</t>
  </si>
  <si>
    <t>A0032</t>
  </si>
  <si>
    <t>Raven Cruz</t>
  </si>
  <si>
    <t>trevor71@gmail.com</t>
  </si>
  <si>
    <t>A0033</t>
  </si>
  <si>
    <t>Bethany Evans</t>
  </si>
  <si>
    <t>simsjoseph@yahoo.com</t>
  </si>
  <si>
    <t>A0034</t>
  </si>
  <si>
    <t>Jeremy Hogan</t>
  </si>
  <si>
    <t>njohnson@gray.net</t>
  </si>
  <si>
    <t>A0035</t>
  </si>
  <si>
    <t>Joan Foster</t>
  </si>
  <si>
    <t>abrown@gmail.com</t>
  </si>
  <si>
    <t>A0036</t>
  </si>
  <si>
    <t>Isaac Deleon</t>
  </si>
  <si>
    <t>michelleperry@day.com</t>
  </si>
  <si>
    <t>A0037</t>
  </si>
  <si>
    <t>Nathan Gonzales</t>
  </si>
  <si>
    <t>isaiahbuckley@yahoo.com</t>
  </si>
  <si>
    <t>A0038</t>
  </si>
  <si>
    <t>Dawn Ruiz</t>
  </si>
  <si>
    <t>ballcourtney@yahoo.com</t>
  </si>
  <si>
    <t>A0039</t>
  </si>
  <si>
    <t>Sharon George</t>
  </si>
  <si>
    <t>kristina80@nichols.com</t>
  </si>
  <si>
    <t>A0040</t>
  </si>
  <si>
    <t>Sarah Pratt</t>
  </si>
  <si>
    <t>srichards@gmail.com</t>
  </si>
  <si>
    <t>A0041</t>
  </si>
  <si>
    <t>Carlos Patrick</t>
  </si>
  <si>
    <t>devin54@carpenter.net</t>
  </si>
  <si>
    <t>A0042</t>
  </si>
  <si>
    <t>Kevin Morrison</t>
  </si>
  <si>
    <t>daviseric@gmail.com</t>
  </si>
  <si>
    <t>A0043</t>
  </si>
  <si>
    <t>Amber Vargas</t>
  </si>
  <si>
    <t>mkeller@miller-evans.com</t>
  </si>
  <si>
    <t>A0044</t>
  </si>
  <si>
    <t>Matthew Ayala</t>
  </si>
  <si>
    <t>carla47@boyer.com</t>
  </si>
  <si>
    <t>A0045</t>
  </si>
  <si>
    <t>Dylan Bowen</t>
  </si>
  <si>
    <t>crystal98@smith.net</t>
  </si>
  <si>
    <t>A0046</t>
  </si>
  <si>
    <t>Scott Moore</t>
  </si>
  <si>
    <t>paul42@gardner.biz</t>
  </si>
  <si>
    <t>A0047</t>
  </si>
  <si>
    <t>Richard Sawyer</t>
  </si>
  <si>
    <t>stevenanderson@gmail.com</t>
  </si>
  <si>
    <t>A0048</t>
  </si>
  <si>
    <t>Nicole Norris</t>
  </si>
  <si>
    <t>nmorris@yahoo.com</t>
  </si>
  <si>
    <t>A0049</t>
  </si>
  <si>
    <t>Patrick Farley</t>
  </si>
  <si>
    <t>moyerduane@page.net</t>
  </si>
  <si>
    <t>A0050</t>
  </si>
  <si>
    <t>Jacob Martinez</t>
  </si>
  <si>
    <t>lindamckenzie@yahoo.com</t>
  </si>
  <si>
    <t>A0051</t>
  </si>
  <si>
    <t>Julie Santiago</t>
  </si>
  <si>
    <t>jennifer57@wright.info</t>
  </si>
  <si>
    <t>A0052</t>
  </si>
  <si>
    <t>Rebecca Chapman</t>
  </si>
  <si>
    <t>sydneyhall@yahoo.com</t>
  </si>
  <si>
    <t>A0053</t>
  </si>
  <si>
    <t>Sarah Day</t>
  </si>
  <si>
    <t>antonio31@suarez.com</t>
  </si>
  <si>
    <t>A0054</t>
  </si>
  <si>
    <t>Laura Mueller</t>
  </si>
  <si>
    <t>webbmegan@murray.com</t>
  </si>
  <si>
    <t>A0055</t>
  </si>
  <si>
    <t>Bradley Rodgers</t>
  </si>
  <si>
    <t>jdunlap@gmail.com</t>
  </si>
  <si>
    <t>A0056</t>
  </si>
  <si>
    <t>Tracy Frazier</t>
  </si>
  <si>
    <t>michael45@yahoo.com</t>
  </si>
  <si>
    <t>A0057</t>
  </si>
  <si>
    <t>Michaela Mendoza</t>
  </si>
  <si>
    <t>klinecarlos@gmail.com</t>
  </si>
  <si>
    <t>A0058</t>
  </si>
  <si>
    <t>Kim Williams</t>
  </si>
  <si>
    <t>bradleymelissa@hotmail.com</t>
  </si>
  <si>
    <t>A0059</t>
  </si>
  <si>
    <t>Dustin Bird</t>
  </si>
  <si>
    <t>cantuscott@wilson.com</t>
  </si>
  <si>
    <t>A0060</t>
  </si>
  <si>
    <t>Jennifer Bell</t>
  </si>
  <si>
    <t>eatonlauren@yahoo.com</t>
  </si>
  <si>
    <t>A0061</t>
  </si>
  <si>
    <t>Kayla Burns</t>
  </si>
  <si>
    <t>anthony24@schmidt.biz</t>
  </si>
  <si>
    <t>A0062</t>
  </si>
  <si>
    <t>Natasha Schmidt</t>
  </si>
  <si>
    <t>mariopotts@burke.com</t>
  </si>
  <si>
    <t>A0063</t>
  </si>
  <si>
    <t>Kimberly Forbes</t>
  </si>
  <si>
    <t>blakeandrews@yahoo.com</t>
  </si>
  <si>
    <t>A0064</t>
  </si>
  <si>
    <t>Frank Stephens</t>
  </si>
  <si>
    <t>amymalone@mayer-roberson.com</t>
  </si>
  <si>
    <t>A0065</t>
  </si>
  <si>
    <t>James Heath</t>
  </si>
  <si>
    <t>morganstacy@chavez.info</t>
  </si>
  <si>
    <t>A0066</t>
  </si>
  <si>
    <t>Cody Parker</t>
  </si>
  <si>
    <t>xdeleon@reynolds-smith.com</t>
  </si>
  <si>
    <t>A0067</t>
  </si>
  <si>
    <t>Bradley Griffin</t>
  </si>
  <si>
    <t>john38@evans-johnson.com</t>
  </si>
  <si>
    <t>A0068</t>
  </si>
  <si>
    <t>James Hood</t>
  </si>
  <si>
    <t>mary24@espinoza.com</t>
  </si>
  <si>
    <t>A0069</t>
  </si>
  <si>
    <t>Shannon Bradford</t>
  </si>
  <si>
    <t>ewhite@gmail.com</t>
  </si>
  <si>
    <t>A0070</t>
  </si>
  <si>
    <t>Kimberly Saunders</t>
  </si>
  <si>
    <t>mpetty@wood.org</t>
  </si>
  <si>
    <t>A0071</t>
  </si>
  <si>
    <t>Michelle Chavez</t>
  </si>
  <si>
    <t>natalieclayton@contreras-reilly.org</t>
  </si>
  <si>
    <t>A0072</t>
  </si>
  <si>
    <t>Laurie Scott</t>
  </si>
  <si>
    <t>ashley48@roberts-osborne.com</t>
  </si>
  <si>
    <t>A0073</t>
  </si>
  <si>
    <t>Patrick Cox</t>
  </si>
  <si>
    <t>grant63@gmail.com</t>
  </si>
  <si>
    <t>A0074</t>
  </si>
  <si>
    <t>Courtney Conner</t>
  </si>
  <si>
    <t>matthewsjessica@stevens-baker.org</t>
  </si>
  <si>
    <t>A0075</t>
  </si>
  <si>
    <t>Robert Roberts</t>
  </si>
  <si>
    <t>milleralex@johnson.biz</t>
  </si>
  <si>
    <t>A0076</t>
  </si>
  <si>
    <t>Heather Rivera</t>
  </si>
  <si>
    <t>stacy40@gmail.com</t>
  </si>
  <si>
    <t>A0077</t>
  </si>
  <si>
    <t>Nicholas Moran</t>
  </si>
  <si>
    <t>morgan12@yahoo.com</t>
  </si>
  <si>
    <t>A0078</t>
  </si>
  <si>
    <t>Timothy Cook</t>
  </si>
  <si>
    <t>livingstonrichard@yahoo.com</t>
  </si>
  <si>
    <t>A0079</t>
  </si>
  <si>
    <t>Robert Parks</t>
  </si>
  <si>
    <t>sreynolds@anderson.com</t>
  </si>
  <si>
    <t>A0080</t>
  </si>
  <si>
    <t>Edward Barker</t>
  </si>
  <si>
    <t>courtney57@gmail.com</t>
  </si>
  <si>
    <t>A0081</t>
  </si>
  <si>
    <t>William Pierce</t>
  </si>
  <si>
    <t>hoffmancraig@mckenzie.com</t>
  </si>
  <si>
    <t>A0082</t>
  </si>
  <si>
    <t>Judith Miller</t>
  </si>
  <si>
    <t>zacharyroy@gmail.com</t>
  </si>
  <si>
    <t>A0083</t>
  </si>
  <si>
    <t>Alan Liu</t>
  </si>
  <si>
    <t>wrangel@hotmail.com</t>
  </si>
  <si>
    <t>A0084</t>
  </si>
  <si>
    <t>James Villarreal</t>
  </si>
  <si>
    <t>henry03@obrien.net</t>
  </si>
  <si>
    <t>A0085</t>
  </si>
  <si>
    <t>Christopher Boyer</t>
  </si>
  <si>
    <t>michaelunderwood@gmail.com</t>
  </si>
  <si>
    <t>A0086</t>
  </si>
  <si>
    <t>Colin Kramer</t>
  </si>
  <si>
    <t>shawnoconnor@hotmail.com</t>
  </si>
  <si>
    <t>A0087</t>
  </si>
  <si>
    <t>Jacob Benton</t>
  </si>
  <si>
    <t>nathan01@costa-thomas.info</t>
  </si>
  <si>
    <t>A0088</t>
  </si>
  <si>
    <t>Elizabeth Orozco</t>
  </si>
  <si>
    <t>pamelagonzalez@rodriguez.com</t>
  </si>
  <si>
    <t>A0089</t>
  </si>
  <si>
    <t>Christopher Potts</t>
  </si>
  <si>
    <t>cynthia21@foley.com</t>
  </si>
  <si>
    <t>A0090</t>
  </si>
  <si>
    <t>Rodney Jones</t>
  </si>
  <si>
    <t>vaughncaleb@yahoo.com</t>
  </si>
  <si>
    <t>A0091</t>
  </si>
  <si>
    <t>Carlos Ray</t>
  </si>
  <si>
    <t>matthewhayes@gibson-tucker.org</t>
  </si>
  <si>
    <t>A0092</t>
  </si>
  <si>
    <t>Veronica Wall</t>
  </si>
  <si>
    <t>riggsjeffrey@jackson.com</t>
  </si>
  <si>
    <t>A0093</t>
  </si>
  <si>
    <t>Susan Johnson</t>
  </si>
  <si>
    <t>larryewing@hotmail.com</t>
  </si>
  <si>
    <t>A0094</t>
  </si>
  <si>
    <t>Sarah Lewis</t>
  </si>
  <si>
    <t>williamramos@wood.com</t>
  </si>
  <si>
    <t>A0095</t>
  </si>
  <si>
    <t>Mark Patterson</t>
  </si>
  <si>
    <t>davenportrobert@johnson.biz</t>
  </si>
  <si>
    <t>A0096</t>
  </si>
  <si>
    <t>Stephanie Davis</t>
  </si>
  <si>
    <t>james41@jackson.com</t>
  </si>
  <si>
    <t>A0097</t>
  </si>
  <si>
    <t>Julia Brown</t>
  </si>
  <si>
    <t>gonzalesjames@gmail.com</t>
  </si>
  <si>
    <t>A0098</t>
  </si>
  <si>
    <t>James Kane</t>
  </si>
  <si>
    <t>deanmolly@hall.com</t>
  </si>
  <si>
    <t>A0099</t>
  </si>
  <si>
    <t>Melissa Parker</t>
  </si>
  <si>
    <t>nicoleflores@davis-hernandez.com</t>
  </si>
  <si>
    <t>A0100</t>
  </si>
  <si>
    <t>Emily Williams</t>
  </si>
  <si>
    <t>hpotts@yahoo.com</t>
  </si>
  <si>
    <t>Target profit</t>
  </si>
  <si>
    <t>Marketing costs</t>
  </si>
  <si>
    <t>Operational costs</t>
  </si>
  <si>
    <t>Attendee ID</t>
  </si>
  <si>
    <t>justinlopez1@yahoo.com</t>
  </si>
  <si>
    <t>17/06/2023</t>
  </si>
  <si>
    <t>Total general</t>
  </si>
  <si>
    <t>Month</t>
  </si>
  <si>
    <t>Forecast</t>
  </si>
  <si>
    <t>Average Ticket Price</t>
  </si>
  <si>
    <t>Number of attendees</t>
  </si>
  <si>
    <t>Attendance</t>
  </si>
  <si>
    <t>Type</t>
  </si>
  <si>
    <t>Session</t>
  </si>
  <si>
    <t>Key metrics:</t>
  </si>
  <si>
    <t>Maximum Number of Attendees over a Month</t>
  </si>
  <si>
    <t>Minimum Number of Attendees over a Month</t>
  </si>
  <si>
    <t>Average Number of Attendees</t>
  </si>
  <si>
    <t>Most Prefered Type</t>
  </si>
  <si>
    <t>Event Dashboard</t>
  </si>
  <si>
    <t>Date group</t>
  </si>
  <si>
    <t>2022-11</t>
  </si>
  <si>
    <t>2022-12</t>
  </si>
  <si>
    <t>2023-01</t>
  </si>
  <si>
    <t>2023-02</t>
  </si>
  <si>
    <t>2023-03</t>
  </si>
  <si>
    <t>2023-04</t>
  </si>
  <si>
    <t>2023-05</t>
  </si>
  <si>
    <t>2023-06</t>
  </si>
  <si>
    <t>2023-07</t>
  </si>
  <si>
    <t>2023-08</t>
  </si>
  <si>
    <t>2023-09</t>
  </si>
  <si>
    <t>2023-10</t>
  </si>
  <si>
    <t>2023-11</t>
  </si>
  <si>
    <t>2023-12</t>
  </si>
  <si>
    <t>2024-01</t>
  </si>
  <si>
    <t>2024-02</t>
  </si>
  <si>
    <t>2024-03</t>
  </si>
  <si>
    <t>2024-04</t>
  </si>
  <si>
    <t>2024-05</t>
  </si>
  <si>
    <t>2024-06</t>
  </si>
  <si>
    <t>2024-07</t>
  </si>
  <si>
    <t>2024-08</t>
  </si>
  <si>
    <t>2024-09</t>
  </si>
  <si>
    <t>2024-10</t>
  </si>
  <si>
    <t>2024-11</t>
  </si>
  <si>
    <t>Date</t>
  </si>
  <si>
    <t>Attendance / Prediction</t>
  </si>
  <si>
    <t>Category</t>
  </si>
  <si>
    <t>Actual</t>
  </si>
  <si>
    <t>Helper Actual</t>
  </si>
  <si>
    <t>Helper Forecast</t>
  </si>
  <si>
    <t>Predicted Attendance*</t>
  </si>
  <si>
    <t>*Note: The instructions doesn't specify how to calculate predicted attendance. I decided to sum the actual sales over the last year.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</si>
</sst>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</font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rgb="FF000000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5" fillId="0" borderId="0" xfId="0" applyFont="1"/>
    <xf numFmtId="0" fontId="4" fillId="0" borderId="1" xfId="0" applyFont="1" applyBorder="1" applyAlignment="1">
      <alignment horizontal="center" vertical="top"/>
    </xf>
    <xf numFmtId="14" fontId="6" fillId="0" borderId="0" xfId="0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 indent="1"/>
    </xf>
    <xf numFmtId="1" fontId="0" fillId="0" borderId="0" xfId="0" applyNumberFormat="1" applyAlignment="1">
      <alignment horizontal="left"/>
    </xf>
    <xf numFmtId="1" fontId="0" fillId="0" borderId="0" xfId="0" applyNumberFormat="1"/>
    <xf numFmtId="2" fontId="0" fillId="0" borderId="0" xfId="0" applyNumberFormat="1"/>
    <xf numFmtId="0" fontId="0" fillId="2" borderId="0" xfId="0" applyFill="1"/>
    <xf numFmtId="0" fontId="3" fillId="0" borderId="0" xfId="0" applyFont="1"/>
    <xf numFmtId="0" fontId="0" fillId="0" borderId="0" xfId="0" applyAlignment="1">
      <alignment horizontal="left"/>
    </xf>
    <xf numFmtId="0" fontId="2" fillId="0" borderId="0" xfId="0" applyFont="1"/>
    <xf numFmtId="0" fontId="0" fillId="4" borderId="0" xfId="0" applyFill="1"/>
    <xf numFmtId="0" fontId="2" fillId="4" borderId="0" xfId="0" applyFont="1" applyFill="1"/>
    <xf numFmtId="0" fontId="2" fillId="5" borderId="0" xfId="0" applyFont="1" applyFill="1"/>
    <xf numFmtId="0" fontId="10" fillId="0" borderId="0" xfId="0" applyFont="1"/>
    <xf numFmtId="14" fontId="0" fillId="0" borderId="0" xfId="0" applyNumberFormat="1"/>
    <xf numFmtId="1" fontId="1" fillId="0" borderId="0" xfId="0" applyNumberFormat="1" applyFont="1" applyAlignment="1">
      <alignment horizontal="right"/>
    </xf>
    <xf numFmtId="0" fontId="12" fillId="0" borderId="1" xfId="0" applyFont="1" applyBorder="1" applyAlignment="1">
      <alignment horizontal="center" vertical="top"/>
    </xf>
    <xf numFmtId="0" fontId="11" fillId="6" borderId="2" xfId="0" applyFont="1" applyFill="1" applyBorder="1"/>
    <xf numFmtId="14" fontId="0" fillId="2" borderId="0" xfId="0" applyNumberFormat="1" applyFill="1"/>
    <xf numFmtId="1" fontId="0" fillId="2" borderId="0" xfId="0" applyNumberFormat="1" applyFill="1"/>
    <xf numFmtId="14" fontId="0" fillId="7" borderId="0" xfId="0" applyNumberFormat="1" applyFill="1"/>
    <xf numFmtId="0" fontId="0" fillId="7" borderId="0" xfId="0" applyFill="1"/>
    <xf numFmtId="0" fontId="7" fillId="8" borderId="0" xfId="0" applyFont="1" applyFill="1"/>
    <xf numFmtId="14" fontId="1" fillId="2" borderId="0" xfId="0" applyNumberFormat="1" applyFont="1" applyFill="1"/>
    <xf numFmtId="14" fontId="1" fillId="7" borderId="0" xfId="0" applyNumberFormat="1" applyFont="1" applyFill="1"/>
    <xf numFmtId="0" fontId="7" fillId="9" borderId="0" xfId="0" applyFont="1" applyFill="1"/>
    <xf numFmtId="1" fontId="7" fillId="9" borderId="0" xfId="0" applyNumberFormat="1" applyFont="1" applyFill="1"/>
    <xf numFmtId="1" fontId="0" fillId="4" borderId="0" xfId="0" applyNumberFormat="1" applyFill="1"/>
    <xf numFmtId="0" fontId="1" fillId="5" borderId="0" xfId="0" applyFont="1" applyFill="1"/>
    <xf numFmtId="0" fontId="14" fillId="3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20"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0" formatCode="General"/>
      <fill>
        <patternFill patternType="solid">
          <fgColor indexed="64"/>
          <bgColor theme="5" tint="0.79998168889431442"/>
        </patternFill>
      </fill>
    </dxf>
    <dxf>
      <numFmt numFmtId="1" formatCode="0"/>
      <fill>
        <patternFill patternType="solid">
          <fgColor indexed="64"/>
          <bgColor theme="5" tint="0.79998168889431442"/>
        </patternFill>
      </fill>
    </dxf>
    <dxf>
      <numFmt numFmtId="19" formatCode="dd/mm/yyyy"/>
      <fill>
        <patternFill patternType="solid">
          <fgColor indexed="64"/>
          <bgColor theme="5" tint="0.79998168889431442"/>
        </patternFill>
      </fill>
    </dxf>
    <dxf>
      <numFmt numFmtId="19" formatCode="dd/mm/yyyy"/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/>
              <a:t>Attendance Pronostic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Projections!$F$2:$F$34</c:f>
              <c:numCache>
                <c:formatCode>m/d/yyyy</c:formatCode>
                <c:ptCount val="33"/>
                <c:pt idx="0">
                  <c:v>44866</c:v>
                </c:pt>
                <c:pt idx="1">
                  <c:v>44896</c:v>
                </c:pt>
                <c:pt idx="2">
                  <c:v>44927</c:v>
                </c:pt>
                <c:pt idx="3">
                  <c:v>44958</c:v>
                </c:pt>
                <c:pt idx="4">
                  <c:v>44986</c:v>
                </c:pt>
                <c:pt idx="5">
                  <c:v>45017</c:v>
                </c:pt>
                <c:pt idx="6">
                  <c:v>45047</c:v>
                </c:pt>
                <c:pt idx="7">
                  <c:v>45078</c:v>
                </c:pt>
                <c:pt idx="8">
                  <c:v>45108</c:v>
                </c:pt>
                <c:pt idx="9">
                  <c:v>45139</c:v>
                </c:pt>
                <c:pt idx="10">
                  <c:v>45170</c:v>
                </c:pt>
                <c:pt idx="11">
                  <c:v>45200</c:v>
                </c:pt>
                <c:pt idx="12">
                  <c:v>45231</c:v>
                </c:pt>
                <c:pt idx="13">
                  <c:v>45261</c:v>
                </c:pt>
                <c:pt idx="14">
                  <c:v>45292</c:v>
                </c:pt>
                <c:pt idx="15">
                  <c:v>45323</c:v>
                </c:pt>
                <c:pt idx="16">
                  <c:v>45352</c:v>
                </c:pt>
                <c:pt idx="17">
                  <c:v>45383</c:v>
                </c:pt>
                <c:pt idx="18">
                  <c:v>45413</c:v>
                </c:pt>
                <c:pt idx="19">
                  <c:v>45444</c:v>
                </c:pt>
                <c:pt idx="20">
                  <c:v>45474</c:v>
                </c:pt>
                <c:pt idx="21">
                  <c:v>45505</c:v>
                </c:pt>
                <c:pt idx="22">
                  <c:v>45536</c:v>
                </c:pt>
                <c:pt idx="23">
                  <c:v>45566</c:v>
                </c:pt>
                <c:pt idx="24">
                  <c:v>45597</c:v>
                </c:pt>
                <c:pt idx="25">
                  <c:v>45627</c:v>
                </c:pt>
                <c:pt idx="26">
                  <c:v>45658</c:v>
                </c:pt>
                <c:pt idx="27">
                  <c:v>45689</c:v>
                </c:pt>
                <c:pt idx="28">
                  <c:v>45717</c:v>
                </c:pt>
                <c:pt idx="29">
                  <c:v>45748</c:v>
                </c:pt>
                <c:pt idx="30">
                  <c:v>45778</c:v>
                </c:pt>
                <c:pt idx="31">
                  <c:v>45809</c:v>
                </c:pt>
                <c:pt idx="32">
                  <c:v>45839</c:v>
                </c:pt>
              </c:numCache>
            </c:numRef>
          </c:cat>
          <c:val>
            <c:numRef>
              <c:f>Projections!$H$2:$H$34</c:f>
              <c:numCache>
                <c:formatCode>General</c:formatCode>
                <c:ptCount val="33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1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7</c:v>
                </c:pt>
                <c:pt idx="15">
                  <c:v>9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6</c:v>
                </c:pt>
                <c:pt idx="20">
                  <c:v>3</c:v>
                </c:pt>
                <c:pt idx="21">
                  <c:v>7</c:v>
                </c:pt>
                <c:pt idx="22">
                  <c:v>2</c:v>
                </c:pt>
                <c:pt idx="23">
                  <c:v>6</c:v>
                </c:pt>
                <c:pt idx="24">
                  <c:v>2</c:v>
                </c:pt>
                <c:pt idx="25" formatCode="0">
                  <c:v>3.4416779789702634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AF-47CB-A7D9-171BBD6C5050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Projections!$F$2:$F$34</c:f>
              <c:numCache>
                <c:formatCode>m/d/yyyy</c:formatCode>
                <c:ptCount val="33"/>
                <c:pt idx="0">
                  <c:v>44866</c:v>
                </c:pt>
                <c:pt idx="1">
                  <c:v>44896</c:v>
                </c:pt>
                <c:pt idx="2">
                  <c:v>44927</c:v>
                </c:pt>
                <c:pt idx="3">
                  <c:v>44958</c:v>
                </c:pt>
                <c:pt idx="4">
                  <c:v>44986</c:v>
                </c:pt>
                <c:pt idx="5">
                  <c:v>45017</c:v>
                </c:pt>
                <c:pt idx="6">
                  <c:v>45047</c:v>
                </c:pt>
                <c:pt idx="7">
                  <c:v>45078</c:v>
                </c:pt>
                <c:pt idx="8">
                  <c:v>45108</c:v>
                </c:pt>
                <c:pt idx="9">
                  <c:v>45139</c:v>
                </c:pt>
                <c:pt idx="10">
                  <c:v>45170</c:v>
                </c:pt>
                <c:pt idx="11">
                  <c:v>45200</c:v>
                </c:pt>
                <c:pt idx="12">
                  <c:v>45231</c:v>
                </c:pt>
                <c:pt idx="13">
                  <c:v>45261</c:v>
                </c:pt>
                <c:pt idx="14">
                  <c:v>45292</c:v>
                </c:pt>
                <c:pt idx="15">
                  <c:v>45323</c:v>
                </c:pt>
                <c:pt idx="16">
                  <c:v>45352</c:v>
                </c:pt>
                <c:pt idx="17">
                  <c:v>45383</c:v>
                </c:pt>
                <c:pt idx="18">
                  <c:v>45413</c:v>
                </c:pt>
                <c:pt idx="19">
                  <c:v>45444</c:v>
                </c:pt>
                <c:pt idx="20">
                  <c:v>45474</c:v>
                </c:pt>
                <c:pt idx="21">
                  <c:v>45505</c:v>
                </c:pt>
                <c:pt idx="22">
                  <c:v>45536</c:v>
                </c:pt>
                <c:pt idx="23">
                  <c:v>45566</c:v>
                </c:pt>
                <c:pt idx="24">
                  <c:v>45597</c:v>
                </c:pt>
                <c:pt idx="25">
                  <c:v>45627</c:v>
                </c:pt>
                <c:pt idx="26">
                  <c:v>45658</c:v>
                </c:pt>
                <c:pt idx="27">
                  <c:v>45689</c:v>
                </c:pt>
                <c:pt idx="28">
                  <c:v>45717</c:v>
                </c:pt>
                <c:pt idx="29">
                  <c:v>45748</c:v>
                </c:pt>
                <c:pt idx="30">
                  <c:v>45778</c:v>
                </c:pt>
                <c:pt idx="31">
                  <c:v>45809</c:v>
                </c:pt>
                <c:pt idx="32">
                  <c:v>45839</c:v>
                </c:pt>
              </c:numCache>
            </c:numRef>
          </c:cat>
          <c:val>
            <c:numRef>
              <c:f>Projections!$I$2:$I$34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 formatCode="0">
                  <c:v>3.4416779789702634</c:v>
                </c:pt>
                <c:pt idx="26" formatCode="0">
                  <c:v>7.31364359215282</c:v>
                </c:pt>
                <c:pt idx="27" formatCode="0">
                  <c:v>9.8749673196887962</c:v>
                </c:pt>
                <c:pt idx="28" formatCode="0">
                  <c:v>5.3105213832450824</c:v>
                </c:pt>
                <c:pt idx="29" formatCode="0">
                  <c:v>5.7247200865882499</c:v>
                </c:pt>
                <c:pt idx="30" formatCode="0">
                  <c:v>4.3287936753638494</c:v>
                </c:pt>
                <c:pt idx="31" formatCode="0">
                  <c:v>5.4178890461243139</c:v>
                </c:pt>
                <c:pt idx="32" formatCode="0">
                  <c:v>5.2640075045551269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AF-47CB-A7D9-171BBD6C5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4107919"/>
        <c:axId val="1334084399"/>
      </c:lineChart>
      <c:dateAx>
        <c:axId val="13341079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4084399"/>
        <c:crosses val="autoZero"/>
        <c:auto val="1"/>
        <c:lblOffset val="100"/>
        <c:baseTimeUnit val="months"/>
      </c:dateAx>
      <c:valAx>
        <c:axId val="133408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4107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[Excel Assignment 4 - 1.xlsm]Pivot tables and Charts!TablaDinámica3</c:name>
    <c:fmtId val="1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Attendence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ln w="31750" cap="rnd">
            <a:solidFill>
              <a:schemeClr val="accent5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'Pivot tables and Charts'!$B$1</c:f>
              <c:strCache>
                <c:ptCount val="1"/>
                <c:pt idx="0">
                  <c:v>Total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tables and Charts'!$A$2:$A$30</c:f>
              <c:multiLvlStrCache>
                <c:ptCount val="25"/>
                <c:lvl>
                  <c:pt idx="0">
                    <c:v>11</c:v>
                  </c:pt>
                  <c:pt idx="1">
                    <c:v>12</c:v>
                  </c:pt>
                  <c:pt idx="2">
                    <c:v>1</c:v>
                  </c:pt>
                  <c:pt idx="3">
                    <c:v>2</c:v>
                  </c:pt>
                  <c:pt idx="4">
                    <c:v>3</c:v>
                  </c:pt>
                  <c:pt idx="5">
                    <c:v>4</c:v>
                  </c:pt>
                  <c:pt idx="6">
                    <c:v>5</c:v>
                  </c:pt>
                  <c:pt idx="7">
                    <c:v>6</c:v>
                  </c:pt>
                  <c:pt idx="8">
                    <c:v>7</c:v>
                  </c:pt>
                  <c:pt idx="9">
                    <c:v>8</c:v>
                  </c:pt>
                  <c:pt idx="10">
                    <c:v>9</c:v>
                  </c:pt>
                  <c:pt idx="11">
                    <c:v>10</c:v>
                  </c:pt>
                  <c:pt idx="12">
                    <c:v>11</c:v>
                  </c:pt>
                  <c:pt idx="13">
                    <c:v>12</c:v>
                  </c:pt>
                  <c:pt idx="14">
                    <c:v>1</c:v>
                  </c:pt>
                  <c:pt idx="15">
                    <c:v>2</c:v>
                  </c:pt>
                  <c:pt idx="16">
                    <c:v>3</c:v>
                  </c:pt>
                  <c:pt idx="17">
                    <c:v>4</c:v>
                  </c:pt>
                  <c:pt idx="18">
                    <c:v>5</c:v>
                  </c:pt>
                  <c:pt idx="19">
                    <c:v>6</c:v>
                  </c:pt>
                  <c:pt idx="20">
                    <c:v>7</c:v>
                  </c:pt>
                  <c:pt idx="21">
                    <c:v>8</c:v>
                  </c:pt>
                  <c:pt idx="22">
                    <c:v>9</c:v>
                  </c:pt>
                  <c:pt idx="23">
                    <c:v>10</c:v>
                  </c:pt>
                  <c:pt idx="24">
                    <c:v>11</c:v>
                  </c:pt>
                </c:lvl>
                <c:lvl>
                  <c:pt idx="0">
                    <c:v>2022</c:v>
                  </c:pt>
                  <c:pt idx="2">
                    <c:v>2023</c:v>
                  </c:pt>
                  <c:pt idx="14">
                    <c:v>2024</c:v>
                  </c:pt>
                </c:lvl>
              </c:multiLvlStrCache>
            </c:multiLvlStrRef>
          </c:cat>
          <c:val>
            <c:numRef>
              <c:f>'Pivot tables and Charts'!$B$2:$B$30</c:f>
              <c:numCache>
                <c:formatCode>General</c:formatCode>
                <c:ptCount val="25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1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7</c:v>
                </c:pt>
                <c:pt idx="15">
                  <c:v>9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6</c:v>
                </c:pt>
                <c:pt idx="20">
                  <c:v>3</c:v>
                </c:pt>
                <c:pt idx="21">
                  <c:v>7</c:v>
                </c:pt>
                <c:pt idx="22">
                  <c:v>2</c:v>
                </c:pt>
                <c:pt idx="23">
                  <c:v>6</c:v>
                </c:pt>
                <c:pt idx="24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C-43F2-B559-CB92CC01A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6032592"/>
        <c:axId val="1906034512"/>
      </c:lineChart>
      <c:catAx>
        <c:axId val="190603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06034512"/>
        <c:crosses val="autoZero"/>
        <c:auto val="1"/>
        <c:lblAlgn val="ctr"/>
        <c:lblOffset val="100"/>
        <c:noMultiLvlLbl val="0"/>
      </c:catAx>
      <c:valAx>
        <c:axId val="190603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0603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[Excel Assignment 4 - 1.xlsm]Pivot tables and Charts!TablaDinámica1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 sz="1800"/>
              <a:t>Attence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 and Charts'!$B$33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50-47A4-990F-5BC225D7434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50-47A4-990F-5BC225D743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 and Charts'!$A$34:$A$36</c:f>
              <c:strCache>
                <c:ptCount val="2"/>
                <c:pt idx="0">
                  <c:v>In-Person</c:v>
                </c:pt>
                <c:pt idx="1">
                  <c:v>Online</c:v>
                </c:pt>
              </c:strCache>
            </c:strRef>
          </c:cat>
          <c:val>
            <c:numRef>
              <c:f>'Pivot tables and Charts'!$B$34:$B$36</c:f>
              <c:numCache>
                <c:formatCode>General</c:formatCode>
                <c:ptCount val="2"/>
                <c:pt idx="0">
                  <c:v>59</c:v>
                </c:pt>
                <c:pt idx="1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50-47A4-990F-5BC225D7434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[Excel Assignment 4 - 1.xlsm]Pivot tables and Charts!TablaDinámica2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 sz="1800"/>
              <a:t>Session Preference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 and Charts'!$B$39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'Pivot tables and Charts'!$A$40:$A$43</c:f>
              <c:strCache>
                <c:ptCount val="3"/>
                <c:pt idx="0">
                  <c:v>Technology</c:v>
                </c:pt>
                <c:pt idx="1">
                  <c:v>Marketing</c:v>
                </c:pt>
                <c:pt idx="2">
                  <c:v>Leadership</c:v>
                </c:pt>
              </c:strCache>
            </c:strRef>
          </c:cat>
          <c:val>
            <c:numRef>
              <c:f>'Pivot tables and Charts'!$B$40:$B$43</c:f>
              <c:numCache>
                <c:formatCode>General</c:formatCode>
                <c:ptCount val="3"/>
                <c:pt idx="0">
                  <c:v>28</c:v>
                </c:pt>
                <c:pt idx="1">
                  <c:v>36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7-4A00-8011-3003A8D92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6025392"/>
        <c:axId val="1906019152"/>
      </c:barChart>
      <c:catAx>
        <c:axId val="1906025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06019152"/>
        <c:crosses val="autoZero"/>
        <c:auto val="1"/>
        <c:lblAlgn val="ctr"/>
        <c:lblOffset val="100"/>
        <c:noMultiLvlLbl val="0"/>
      </c:catAx>
      <c:valAx>
        <c:axId val="190601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0602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[Excel Assignment 4 - 1.xlsm]Pivot tables and Charts!TablaDinámica1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 sz="1800"/>
              <a:t>Attence type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9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2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hade val="76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hade val="76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shade val="76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5"/>
        <c:spPr>
          <a:gradFill rotWithShape="1">
            <a:gsLst>
              <a:gs pos="0">
                <a:schemeClr val="accent5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'Pivot tables and Charts'!$B$33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5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0A-4209-8011-E49049FD62A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0A-4209-8011-E49049FD62A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tables and Charts'!$A$34:$A$36</c:f>
              <c:strCache>
                <c:ptCount val="2"/>
                <c:pt idx="0">
                  <c:v>In-Person</c:v>
                </c:pt>
                <c:pt idx="1">
                  <c:v>Online</c:v>
                </c:pt>
              </c:strCache>
            </c:strRef>
          </c:cat>
          <c:val>
            <c:numRef>
              <c:f>'Pivot tables and Charts'!$B$34:$B$36</c:f>
              <c:numCache>
                <c:formatCode>General</c:formatCode>
                <c:ptCount val="2"/>
                <c:pt idx="0">
                  <c:v>59</c:v>
                </c:pt>
                <c:pt idx="1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E0A-4209-8011-E49049FD62A3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[Excel Assignment 4 - 1.xlsm]Pivot tables and Charts!TablaDinámica2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Session Preference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'Pivot tables and Charts'!$B$39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'Pivot tables and Charts'!$A$40:$A$43</c:f>
              <c:strCache>
                <c:ptCount val="3"/>
                <c:pt idx="0">
                  <c:v>Technology</c:v>
                </c:pt>
                <c:pt idx="1">
                  <c:v>Marketing</c:v>
                </c:pt>
                <c:pt idx="2">
                  <c:v>Leadership</c:v>
                </c:pt>
              </c:strCache>
            </c:strRef>
          </c:cat>
          <c:val>
            <c:numRef>
              <c:f>'Pivot tables and Charts'!$B$40:$B$43</c:f>
              <c:numCache>
                <c:formatCode>General</c:formatCode>
                <c:ptCount val="3"/>
                <c:pt idx="0">
                  <c:v>28</c:v>
                </c:pt>
                <c:pt idx="1">
                  <c:v>36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A-47F5-A479-199C632B3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6025392"/>
        <c:axId val="1906019152"/>
      </c:barChart>
      <c:catAx>
        <c:axId val="190602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06019152"/>
        <c:crosses val="autoZero"/>
        <c:auto val="1"/>
        <c:lblAlgn val="ctr"/>
        <c:lblOffset val="100"/>
        <c:noMultiLvlLbl val="0"/>
      </c:catAx>
      <c:valAx>
        <c:axId val="190601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0602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sz="2000"/>
              <a:t>Attendance Pronostic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Projections!$F$2:$F$34</c:f>
              <c:numCache>
                <c:formatCode>m/d/yyyy</c:formatCode>
                <c:ptCount val="33"/>
                <c:pt idx="0">
                  <c:v>44866</c:v>
                </c:pt>
                <c:pt idx="1">
                  <c:v>44896</c:v>
                </c:pt>
                <c:pt idx="2">
                  <c:v>44927</c:v>
                </c:pt>
                <c:pt idx="3">
                  <c:v>44958</c:v>
                </c:pt>
                <c:pt idx="4">
                  <c:v>44986</c:v>
                </c:pt>
                <c:pt idx="5">
                  <c:v>45017</c:v>
                </c:pt>
                <c:pt idx="6">
                  <c:v>45047</c:v>
                </c:pt>
                <c:pt idx="7">
                  <c:v>45078</c:v>
                </c:pt>
                <c:pt idx="8">
                  <c:v>45108</c:v>
                </c:pt>
                <c:pt idx="9">
                  <c:v>45139</c:v>
                </c:pt>
                <c:pt idx="10">
                  <c:v>45170</c:v>
                </c:pt>
                <c:pt idx="11">
                  <c:v>45200</c:v>
                </c:pt>
                <c:pt idx="12">
                  <c:v>45231</c:v>
                </c:pt>
                <c:pt idx="13">
                  <c:v>45261</c:v>
                </c:pt>
                <c:pt idx="14">
                  <c:v>45292</c:v>
                </c:pt>
                <c:pt idx="15">
                  <c:v>45323</c:v>
                </c:pt>
                <c:pt idx="16">
                  <c:v>45352</c:v>
                </c:pt>
                <c:pt idx="17">
                  <c:v>45383</c:v>
                </c:pt>
                <c:pt idx="18">
                  <c:v>45413</c:v>
                </c:pt>
                <c:pt idx="19">
                  <c:v>45444</c:v>
                </c:pt>
                <c:pt idx="20">
                  <c:v>45474</c:v>
                </c:pt>
                <c:pt idx="21">
                  <c:v>45505</c:v>
                </c:pt>
                <c:pt idx="22">
                  <c:v>45536</c:v>
                </c:pt>
                <c:pt idx="23">
                  <c:v>45566</c:v>
                </c:pt>
                <c:pt idx="24">
                  <c:v>45597</c:v>
                </c:pt>
                <c:pt idx="25">
                  <c:v>45627</c:v>
                </c:pt>
                <c:pt idx="26">
                  <c:v>45658</c:v>
                </c:pt>
                <c:pt idx="27">
                  <c:v>45689</c:v>
                </c:pt>
                <c:pt idx="28">
                  <c:v>45717</c:v>
                </c:pt>
                <c:pt idx="29">
                  <c:v>45748</c:v>
                </c:pt>
                <c:pt idx="30">
                  <c:v>45778</c:v>
                </c:pt>
                <c:pt idx="31">
                  <c:v>45809</c:v>
                </c:pt>
                <c:pt idx="32">
                  <c:v>45839</c:v>
                </c:pt>
              </c:numCache>
            </c:numRef>
          </c:cat>
          <c:val>
            <c:numRef>
              <c:f>Projections!$H$2:$H$34</c:f>
              <c:numCache>
                <c:formatCode>General</c:formatCode>
                <c:ptCount val="33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1</c:v>
                </c:pt>
                <c:pt idx="5">
                  <c:v>6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2</c:v>
                </c:pt>
                <c:pt idx="14">
                  <c:v>7</c:v>
                </c:pt>
                <c:pt idx="15">
                  <c:v>9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6</c:v>
                </c:pt>
                <c:pt idx="20">
                  <c:v>3</c:v>
                </c:pt>
                <c:pt idx="21">
                  <c:v>7</c:v>
                </c:pt>
                <c:pt idx="22">
                  <c:v>2</c:v>
                </c:pt>
                <c:pt idx="23">
                  <c:v>6</c:v>
                </c:pt>
                <c:pt idx="24">
                  <c:v>2</c:v>
                </c:pt>
                <c:pt idx="25" formatCode="0">
                  <c:v>3.4416779789702634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21-4C1D-952E-41F9E2F5AB83}"/>
            </c:ext>
          </c:extLst>
        </c:ser>
        <c:ser>
          <c:idx val="1"/>
          <c:order val="1"/>
          <c:tx>
            <c:v>Forecast</c:v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Projections!$F$2:$F$34</c:f>
              <c:numCache>
                <c:formatCode>m/d/yyyy</c:formatCode>
                <c:ptCount val="33"/>
                <c:pt idx="0">
                  <c:v>44866</c:v>
                </c:pt>
                <c:pt idx="1">
                  <c:v>44896</c:v>
                </c:pt>
                <c:pt idx="2">
                  <c:v>44927</c:v>
                </c:pt>
                <c:pt idx="3">
                  <c:v>44958</c:v>
                </c:pt>
                <c:pt idx="4">
                  <c:v>44986</c:v>
                </c:pt>
                <c:pt idx="5">
                  <c:v>45017</c:v>
                </c:pt>
                <c:pt idx="6">
                  <c:v>45047</c:v>
                </c:pt>
                <c:pt idx="7">
                  <c:v>45078</c:v>
                </c:pt>
                <c:pt idx="8">
                  <c:v>45108</c:v>
                </c:pt>
                <c:pt idx="9">
                  <c:v>45139</c:v>
                </c:pt>
                <c:pt idx="10">
                  <c:v>45170</c:v>
                </c:pt>
                <c:pt idx="11">
                  <c:v>45200</c:v>
                </c:pt>
                <c:pt idx="12">
                  <c:v>45231</c:v>
                </c:pt>
                <c:pt idx="13">
                  <c:v>45261</c:v>
                </c:pt>
                <c:pt idx="14">
                  <c:v>45292</c:v>
                </c:pt>
                <c:pt idx="15">
                  <c:v>45323</c:v>
                </c:pt>
                <c:pt idx="16">
                  <c:v>45352</c:v>
                </c:pt>
                <c:pt idx="17">
                  <c:v>45383</c:v>
                </c:pt>
                <c:pt idx="18">
                  <c:v>45413</c:v>
                </c:pt>
                <c:pt idx="19">
                  <c:v>45444</c:v>
                </c:pt>
                <c:pt idx="20">
                  <c:v>45474</c:v>
                </c:pt>
                <c:pt idx="21">
                  <c:v>45505</c:v>
                </c:pt>
                <c:pt idx="22">
                  <c:v>45536</c:v>
                </c:pt>
                <c:pt idx="23">
                  <c:v>45566</c:v>
                </c:pt>
                <c:pt idx="24">
                  <c:v>45597</c:v>
                </c:pt>
                <c:pt idx="25">
                  <c:v>45627</c:v>
                </c:pt>
                <c:pt idx="26">
                  <c:v>45658</c:v>
                </c:pt>
                <c:pt idx="27">
                  <c:v>45689</c:v>
                </c:pt>
                <c:pt idx="28">
                  <c:v>45717</c:v>
                </c:pt>
                <c:pt idx="29">
                  <c:v>45748</c:v>
                </c:pt>
                <c:pt idx="30">
                  <c:v>45778</c:v>
                </c:pt>
                <c:pt idx="31">
                  <c:v>45809</c:v>
                </c:pt>
                <c:pt idx="32">
                  <c:v>45839</c:v>
                </c:pt>
              </c:numCache>
            </c:numRef>
          </c:cat>
          <c:val>
            <c:numRef>
              <c:f>Projections!$I$2:$I$34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 formatCode="0">
                  <c:v>3.4416779789702634</c:v>
                </c:pt>
                <c:pt idx="26" formatCode="0">
                  <c:v>7.31364359215282</c:v>
                </c:pt>
                <c:pt idx="27" formatCode="0">
                  <c:v>9.8749673196887962</c:v>
                </c:pt>
                <c:pt idx="28" formatCode="0">
                  <c:v>5.3105213832450824</c:v>
                </c:pt>
                <c:pt idx="29" formatCode="0">
                  <c:v>5.7247200865882499</c:v>
                </c:pt>
                <c:pt idx="30" formatCode="0">
                  <c:v>4.3287936753638494</c:v>
                </c:pt>
                <c:pt idx="31" formatCode="0">
                  <c:v>5.4178890461243139</c:v>
                </c:pt>
                <c:pt idx="32" formatCode="0">
                  <c:v>5.2640075045551269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1-4C1D-952E-41F9E2F5A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4107919"/>
        <c:axId val="1334084399"/>
      </c:lineChart>
      <c:dateAx>
        <c:axId val="13341079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4084399"/>
        <c:crosses val="autoZero"/>
        <c:auto val="1"/>
        <c:lblOffset val="100"/>
        <c:baseTimeUnit val="months"/>
      </c:dateAx>
      <c:valAx>
        <c:axId val="133408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4107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371475</xdr:colOff>
          <xdr:row>0</xdr:row>
          <xdr:rowOff>171450</xdr:rowOff>
        </xdr:from>
        <xdr:to>
          <xdr:col>13</xdr:col>
          <xdr:colOff>257175</xdr:colOff>
          <xdr:row>8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AttendeeForm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504826</xdr:colOff>
      <xdr:row>2</xdr:row>
      <xdr:rowOff>42861</xdr:rowOff>
    </xdr:from>
    <xdr:to>
      <xdr:col>18</xdr:col>
      <xdr:colOff>638176</xdr:colOff>
      <xdr:row>22</xdr:row>
      <xdr:rowOff>85725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E7391F8-A5FF-8051-C4F9-1176ACC84D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104773</xdr:colOff>
      <xdr:row>1</xdr:row>
      <xdr:rowOff>23811</xdr:rowOff>
    </xdr:from>
    <xdr:to>
      <xdr:col>14</xdr:col>
      <xdr:colOff>752474</xdr:colOff>
      <xdr:row>22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6B30ED1-A7CF-16AE-205C-A9808C4CDC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133349</xdr:colOff>
      <xdr:row>25</xdr:row>
      <xdr:rowOff>171450</xdr:rowOff>
    </xdr:from>
    <xdr:to>
      <xdr:col>9</xdr:col>
      <xdr:colOff>28574</xdr:colOff>
      <xdr:row>40</xdr:row>
      <xdr:rowOff>61914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FD829EA-F87F-460D-B5EF-3373D9C64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276225</xdr:colOff>
      <xdr:row>26</xdr:row>
      <xdr:rowOff>19050</xdr:rowOff>
    </xdr:from>
    <xdr:to>
      <xdr:col>15</xdr:col>
      <xdr:colOff>447675</xdr:colOff>
      <xdr:row>40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62E2D6-529E-4ECB-8149-C03BCF934B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752474</xdr:colOff>
      <xdr:row>17</xdr:row>
      <xdr:rowOff>9525</xdr:rowOff>
    </xdr:from>
    <xdr:to>
      <xdr:col>13</xdr:col>
      <xdr:colOff>742950</xdr:colOff>
      <xdr:row>30</xdr:row>
      <xdr:rowOff>161924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D8E606C9-4945-415D-93D0-21FF67A72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723899</xdr:colOff>
      <xdr:row>1</xdr:row>
      <xdr:rowOff>85725</xdr:rowOff>
    </xdr:from>
    <xdr:to>
      <xdr:col>13</xdr:col>
      <xdr:colOff>733425</xdr:colOff>
      <xdr:row>15</xdr:row>
      <xdr:rowOff>76200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3861B3F-5A01-49F6-AF92-F152502DC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31</xdr:row>
          <xdr:rowOff>180975</xdr:rowOff>
        </xdr:from>
        <xdr:to>
          <xdr:col>13</xdr:col>
          <xdr:colOff>704850</xdr:colOff>
          <xdr:row>34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9524</xdr:colOff>
      <xdr:row>13</xdr:row>
      <xdr:rowOff>114299</xdr:rowOff>
    </xdr:from>
    <xdr:to>
      <xdr:col>5</xdr:col>
      <xdr:colOff>733425</xdr:colOff>
      <xdr:row>33</xdr:row>
      <xdr:rowOff>161924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9030225-BE0D-44DE-8715-62D313FB3C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LARES" refreshedDate="45738.485443981481" createdVersion="8" refreshedVersion="8" minRefreshableVersion="3" recordCount="100" xr:uid="{E08CDC29-9D97-4114-B81F-2EED29067B58}">
  <cacheSource type="worksheet">
    <worksheetSource name="AttendanceTable"/>
  </cacheSource>
  <cacheFields count="11">
    <cacheField name="Attendee ID" numFmtId="0">
      <sharedItems/>
    </cacheField>
    <cacheField name="Name" numFmtId="0">
      <sharedItems/>
    </cacheField>
    <cacheField name="Email" numFmtId="0">
      <sharedItems/>
    </cacheField>
    <cacheField name="Session Preference" numFmtId="0">
      <sharedItems count="3">
        <s v="Technology"/>
        <s v="Marketing"/>
        <s v="Leadership"/>
      </sharedItems>
    </cacheField>
    <cacheField name="Attendance Type" numFmtId="0">
      <sharedItems count="2">
        <s v="In-Person"/>
        <s v="Online"/>
      </sharedItems>
    </cacheField>
    <cacheField name="Workshops" numFmtId="0">
      <sharedItems/>
    </cacheField>
    <cacheField name="Dietary Preference" numFmtId="0">
      <sharedItems/>
    </cacheField>
    <cacheField name="Registration Date" numFmtId="14">
      <sharedItems containsDate="1" containsMixedTypes="1" minDate="2022-11-13T00:00:00" maxDate="2024-11-10T00:00:00"/>
    </cacheField>
    <cacheField name="Year" numFmtId="1">
      <sharedItems containsSemiMixedTypes="0" containsString="0" containsNumber="1" containsInteger="1" minValue="2022" maxValue="2024" count="3">
        <n v="2023"/>
        <n v="2024"/>
        <n v="2022"/>
      </sharedItems>
    </cacheField>
    <cacheField name="Month" numFmtId="1">
      <sharedItems containsSemiMixedTypes="0" containsString="0" containsNumber="1" containsInteger="1" minValue="1" maxValue="12" count="12">
        <n v="3"/>
        <n v="1"/>
        <n v="2"/>
        <n v="7"/>
        <n v="8"/>
        <n v="6"/>
        <n v="12"/>
        <n v="9"/>
        <n v="5"/>
        <n v="10"/>
        <n v="4"/>
        <n v="11"/>
      </sharedItems>
    </cacheField>
    <cacheField name="Date group" numFmtId="1">
      <sharedItems count="25">
        <s v="2023-03"/>
        <s v="2023-01"/>
        <s v="2024-02"/>
        <s v="2023-07"/>
        <s v="2023-02"/>
        <s v="2023-08"/>
        <s v="2023-06"/>
        <s v="2024-06"/>
        <s v="2024-01"/>
        <s v="2023-12"/>
        <s v="2023-09"/>
        <s v="2024-07"/>
        <s v="2024-05"/>
        <s v="2023-10"/>
        <s v="2023-04"/>
        <s v="2022-12"/>
        <s v="2024-03"/>
        <s v="2024-04"/>
        <s v="2024-08"/>
        <s v="2023-11"/>
        <s v="2023-05"/>
        <s v="2024-10"/>
        <s v="2024-09"/>
        <s v="2024-11"/>
        <s v="2022-1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s v="A0001"/>
    <s v="Katherine Lewis"/>
    <s v="michaelcole@gmail.com"/>
    <x v="0"/>
    <x v="0"/>
    <s v="None"/>
    <s v="Vegetarian"/>
    <d v="2023-03-14T00:00:00"/>
    <x v="0"/>
    <x v="0"/>
    <x v="0"/>
  </r>
  <r>
    <s v="A0002"/>
    <s v="Joshua Stephens"/>
    <s v="erin02@robinson-moody.biz"/>
    <x v="1"/>
    <x v="0"/>
    <s v="Workshop C"/>
    <s v="Gluten-Free"/>
    <d v="2023-01-11T00:00:00"/>
    <x v="0"/>
    <x v="1"/>
    <x v="1"/>
  </r>
  <r>
    <s v="A0003"/>
    <s v="Gabrielle Jennings"/>
    <s v="william93@yahoo.com"/>
    <x v="2"/>
    <x v="1"/>
    <s v="None"/>
    <s v="Gluten-Free"/>
    <d v="2024-02-27T00:00:00"/>
    <x v="1"/>
    <x v="2"/>
    <x v="2"/>
  </r>
  <r>
    <s v="A0004"/>
    <s v="Tina Carrillo"/>
    <s v="marygarcia@gutierrez-tyler.com"/>
    <x v="1"/>
    <x v="1"/>
    <s v="Workshop A"/>
    <s v="Gluten-Free"/>
    <d v="2023-07-07T00:00:00"/>
    <x v="0"/>
    <x v="3"/>
    <x v="3"/>
  </r>
  <r>
    <s v="A0005"/>
    <s v="Bryan Hamilton"/>
    <s v="antonio90@yahoo.com"/>
    <x v="0"/>
    <x v="1"/>
    <s v="Workshop B"/>
    <s v="Vegan"/>
    <d v="2023-02-25T00:00:00"/>
    <x v="0"/>
    <x v="2"/>
    <x v="4"/>
  </r>
  <r>
    <s v="A0006"/>
    <s v="Tina Williams"/>
    <s v="bmoore@gmail.com"/>
    <x v="2"/>
    <x v="0"/>
    <s v="Workshop C"/>
    <s v="Gluten-Free"/>
    <d v="2023-08-17T00:00:00"/>
    <x v="0"/>
    <x v="4"/>
    <x v="5"/>
  </r>
  <r>
    <s v="A0007"/>
    <s v="Rebecca Tate"/>
    <s v="millerfrank@gmail.com"/>
    <x v="2"/>
    <x v="1"/>
    <s v="Workshop C"/>
    <s v="Vegetarian"/>
    <d v="2024-02-08T00:00:00"/>
    <x v="1"/>
    <x v="2"/>
    <x v="2"/>
  </r>
  <r>
    <s v="A0008"/>
    <s v="Curtis Ortiz"/>
    <s v="justinlopez1@yahoo.com"/>
    <x v="2"/>
    <x v="0"/>
    <s v="Workshop B"/>
    <s v="Non-Vegetarian"/>
    <s v="17/06/2023"/>
    <x v="0"/>
    <x v="5"/>
    <x v="6"/>
  </r>
  <r>
    <s v="A0009"/>
    <s v="Christopher Burns"/>
    <s v="brianna75@hotmail.com"/>
    <x v="0"/>
    <x v="0"/>
    <s v="Workshop C"/>
    <s v="Vegetarian"/>
    <d v="2024-06-27T00:00:00"/>
    <x v="1"/>
    <x v="5"/>
    <x v="7"/>
  </r>
  <r>
    <s v="A0010"/>
    <s v="Bethany Turner"/>
    <s v="johnbullock@hotmail.com"/>
    <x v="1"/>
    <x v="0"/>
    <s v="Workshop A"/>
    <s v="Non-Vegetarian"/>
    <d v="2024-01-22T00:00:00"/>
    <x v="1"/>
    <x v="1"/>
    <x v="8"/>
  </r>
  <r>
    <s v="A0011"/>
    <s v="Kimberly Anderson"/>
    <s v="jenniferclark@yahoo.com"/>
    <x v="2"/>
    <x v="1"/>
    <s v="Workshop C"/>
    <s v="Vegan"/>
    <d v="2023-02-18T00:00:00"/>
    <x v="0"/>
    <x v="2"/>
    <x v="4"/>
  </r>
  <r>
    <s v="A0012"/>
    <s v="Timothy Butler"/>
    <s v="ujennings@day.biz"/>
    <x v="2"/>
    <x v="1"/>
    <s v="Workshop B"/>
    <s v="Vegetarian"/>
    <d v="2024-02-09T00:00:00"/>
    <x v="1"/>
    <x v="2"/>
    <x v="2"/>
  </r>
  <r>
    <s v="A0013"/>
    <s v="Gloria Ryan"/>
    <s v="michelemyers@hall-coleman.com"/>
    <x v="0"/>
    <x v="1"/>
    <s v="Workshop C"/>
    <s v="Non-Vegetarian"/>
    <d v="2024-06-23T00:00:00"/>
    <x v="1"/>
    <x v="5"/>
    <x v="7"/>
  </r>
  <r>
    <s v="A0014"/>
    <s v="Darin Hampton"/>
    <s v="bthornton@tran.com"/>
    <x v="2"/>
    <x v="1"/>
    <s v="Workshop A"/>
    <s v="Gluten-Free"/>
    <d v="2023-08-17T00:00:00"/>
    <x v="0"/>
    <x v="4"/>
    <x v="5"/>
  </r>
  <r>
    <s v="A0015"/>
    <s v="Neil Lester"/>
    <s v="miguelkim@harrington.com"/>
    <x v="0"/>
    <x v="1"/>
    <s v="Workshop C"/>
    <s v="Gluten-Free"/>
    <d v="2023-12-09T00:00:00"/>
    <x v="0"/>
    <x v="6"/>
    <x v="9"/>
  </r>
  <r>
    <s v="A0016"/>
    <s v="Barbara Dominguez"/>
    <s v="volson@jones-watts.com"/>
    <x v="1"/>
    <x v="1"/>
    <s v="Workshop A"/>
    <s v="Gluten-Free"/>
    <d v="2023-09-30T00:00:00"/>
    <x v="0"/>
    <x v="7"/>
    <x v="10"/>
  </r>
  <r>
    <s v="A0017"/>
    <s v="David Williams"/>
    <s v="hollymeadows@davis-allison.net"/>
    <x v="0"/>
    <x v="0"/>
    <s v="None"/>
    <s v="Non-Vegetarian"/>
    <d v="2024-07-01T00:00:00"/>
    <x v="1"/>
    <x v="3"/>
    <x v="11"/>
  </r>
  <r>
    <s v="A0018"/>
    <s v="Nancy Lee"/>
    <s v="stephen94@hotmail.com"/>
    <x v="1"/>
    <x v="0"/>
    <s v="Workshop A"/>
    <s v="Vegetarian"/>
    <d v="2024-05-04T00:00:00"/>
    <x v="1"/>
    <x v="8"/>
    <x v="12"/>
  </r>
  <r>
    <s v="A0019"/>
    <s v="Oscar Fowler"/>
    <s v="uhayden@yahoo.com"/>
    <x v="1"/>
    <x v="1"/>
    <s v="None"/>
    <s v="Vegan"/>
    <d v="2023-10-14T00:00:00"/>
    <x v="0"/>
    <x v="9"/>
    <x v="13"/>
  </r>
  <r>
    <s v="A0020"/>
    <s v="Amy Miller"/>
    <s v="susan21@yahoo.com"/>
    <x v="1"/>
    <x v="1"/>
    <s v="Workshop A"/>
    <s v="Vegetarian"/>
    <d v="2023-04-20T00:00:00"/>
    <x v="0"/>
    <x v="10"/>
    <x v="14"/>
  </r>
  <r>
    <s v="A0021"/>
    <s v="Lydia Mcdonald"/>
    <s v="peggyfriedman@yahoo.com"/>
    <x v="1"/>
    <x v="0"/>
    <s v="None"/>
    <s v="Non-Vegetarian"/>
    <d v="2023-07-24T00:00:00"/>
    <x v="0"/>
    <x v="3"/>
    <x v="3"/>
  </r>
  <r>
    <s v="A0022"/>
    <s v="Emily Mcdonald"/>
    <s v="iwebb@mullins.com"/>
    <x v="1"/>
    <x v="0"/>
    <s v="None"/>
    <s v="Vegan"/>
    <d v="2022-12-31T00:00:00"/>
    <x v="2"/>
    <x v="6"/>
    <x v="15"/>
  </r>
  <r>
    <s v="A0023"/>
    <s v="Carolyn Graves"/>
    <s v="brookenavarro@hotmail.com"/>
    <x v="1"/>
    <x v="0"/>
    <s v="None"/>
    <s v="Vegan"/>
    <d v="2024-02-21T00:00:00"/>
    <x v="1"/>
    <x v="2"/>
    <x v="2"/>
  </r>
  <r>
    <s v="A0024"/>
    <s v="Linda White"/>
    <s v="nancy35@yahoo.com"/>
    <x v="1"/>
    <x v="1"/>
    <s v="Workshop A"/>
    <s v="Gluten-Free"/>
    <d v="2023-04-24T00:00:00"/>
    <x v="0"/>
    <x v="10"/>
    <x v="14"/>
  </r>
  <r>
    <s v="A0025"/>
    <s v="Andrew Becker"/>
    <s v="jeffreyshepherd@yahoo.com"/>
    <x v="1"/>
    <x v="0"/>
    <s v="Workshop A"/>
    <s v="Vegan"/>
    <d v="2024-01-22T00:00:00"/>
    <x v="1"/>
    <x v="1"/>
    <x v="8"/>
  </r>
  <r>
    <s v="A0026"/>
    <s v="Regina Zimmerman"/>
    <s v="martindarrell@todd.com"/>
    <x v="1"/>
    <x v="0"/>
    <s v="Workshop B"/>
    <s v="Vegetarian"/>
    <d v="2024-03-22T00:00:00"/>
    <x v="1"/>
    <x v="0"/>
    <x v="16"/>
  </r>
  <r>
    <s v="A0027"/>
    <s v="Meagan Wheeler"/>
    <s v="rsmith@schmidt.com"/>
    <x v="2"/>
    <x v="1"/>
    <s v="None"/>
    <s v="Vegetarian"/>
    <d v="2024-04-28T00:00:00"/>
    <x v="1"/>
    <x v="10"/>
    <x v="17"/>
  </r>
  <r>
    <s v="A0028"/>
    <s v="Lisa Green"/>
    <s v="anthony55@gmail.com"/>
    <x v="1"/>
    <x v="0"/>
    <s v="Workshop C"/>
    <s v="Vegetarian"/>
    <d v="2023-10-31T00:00:00"/>
    <x v="0"/>
    <x v="9"/>
    <x v="13"/>
  </r>
  <r>
    <s v="A0029"/>
    <s v="Tammy Brown"/>
    <s v="brittany10@williams-smith.com"/>
    <x v="2"/>
    <x v="1"/>
    <s v="None"/>
    <s v="Vegetarian"/>
    <d v="2023-10-16T00:00:00"/>
    <x v="0"/>
    <x v="9"/>
    <x v="13"/>
  </r>
  <r>
    <s v="A0030"/>
    <s v="Debbie Bryant MD"/>
    <s v="kjohnson@yahoo.com"/>
    <x v="2"/>
    <x v="0"/>
    <s v="Workshop C"/>
    <s v="Gluten-Free"/>
    <d v="2024-08-26T00:00:00"/>
    <x v="1"/>
    <x v="4"/>
    <x v="18"/>
  </r>
  <r>
    <s v="A0031"/>
    <s v="Felicia Parker"/>
    <s v="jeffreyrivera@watkins.com"/>
    <x v="0"/>
    <x v="1"/>
    <s v="Workshop A"/>
    <s v="Vegan"/>
    <d v="2024-08-29T00:00:00"/>
    <x v="1"/>
    <x v="4"/>
    <x v="18"/>
  </r>
  <r>
    <s v="A0032"/>
    <s v="Raven Cruz"/>
    <s v="trevor71@gmail.com"/>
    <x v="2"/>
    <x v="0"/>
    <s v="None"/>
    <s v="Non-Vegetarian"/>
    <d v="2024-01-08T00:00:00"/>
    <x v="1"/>
    <x v="1"/>
    <x v="8"/>
  </r>
  <r>
    <s v="A0033"/>
    <s v="Bethany Evans"/>
    <s v="simsjoseph@yahoo.com"/>
    <x v="2"/>
    <x v="1"/>
    <s v="Workshop B"/>
    <s v="Vegetarian"/>
    <d v="2023-11-30T00:00:00"/>
    <x v="0"/>
    <x v="11"/>
    <x v="19"/>
  </r>
  <r>
    <s v="A0034"/>
    <s v="Jeremy Hogan"/>
    <s v="njohnson@gray.net"/>
    <x v="1"/>
    <x v="1"/>
    <s v="None"/>
    <s v="Non-Vegetarian"/>
    <d v="2024-03-17T00:00:00"/>
    <x v="1"/>
    <x v="0"/>
    <x v="16"/>
  </r>
  <r>
    <s v="A0035"/>
    <s v="Joan Foster"/>
    <s v="abrown@gmail.com"/>
    <x v="2"/>
    <x v="1"/>
    <s v="Workshop C"/>
    <s v="Gluten-Free"/>
    <d v="2024-07-03T00:00:00"/>
    <x v="1"/>
    <x v="3"/>
    <x v="11"/>
  </r>
  <r>
    <s v="A0036"/>
    <s v="Isaac Deleon"/>
    <s v="michelleperry@day.com"/>
    <x v="0"/>
    <x v="0"/>
    <s v="None"/>
    <s v="Vegan"/>
    <d v="2024-07-11T00:00:00"/>
    <x v="1"/>
    <x v="3"/>
    <x v="11"/>
  </r>
  <r>
    <s v="A0037"/>
    <s v="Nathan Gonzales"/>
    <s v="isaiahbuckley@yahoo.com"/>
    <x v="2"/>
    <x v="1"/>
    <s v="Workshop C"/>
    <s v="Non-Vegetarian"/>
    <d v="2023-05-25T00:00:00"/>
    <x v="0"/>
    <x v="8"/>
    <x v="20"/>
  </r>
  <r>
    <s v="A0038"/>
    <s v="Dawn Ruiz"/>
    <s v="ballcourtney@yahoo.com"/>
    <x v="1"/>
    <x v="0"/>
    <s v="Workshop A"/>
    <s v="Vegetarian"/>
    <d v="2024-01-16T00:00:00"/>
    <x v="1"/>
    <x v="1"/>
    <x v="8"/>
  </r>
  <r>
    <s v="A0039"/>
    <s v="Sharon George"/>
    <s v="kristina80@nichols.com"/>
    <x v="0"/>
    <x v="1"/>
    <s v="Workshop B"/>
    <s v="Non-Vegetarian"/>
    <d v="2024-10-25T00:00:00"/>
    <x v="1"/>
    <x v="9"/>
    <x v="21"/>
  </r>
  <r>
    <s v="A0040"/>
    <s v="Sarah Pratt"/>
    <s v="srichards@gmail.com"/>
    <x v="1"/>
    <x v="0"/>
    <s v="Workshop A"/>
    <s v="Vegetarian"/>
    <d v="2024-06-13T00:00:00"/>
    <x v="1"/>
    <x v="5"/>
    <x v="7"/>
  </r>
  <r>
    <s v="A0041"/>
    <s v="Carlos Patrick"/>
    <s v="devin54@carpenter.net"/>
    <x v="0"/>
    <x v="1"/>
    <s v="None"/>
    <s v="Vegetarian"/>
    <d v="2024-10-01T00:00:00"/>
    <x v="1"/>
    <x v="9"/>
    <x v="21"/>
  </r>
  <r>
    <s v="A0042"/>
    <s v="Kevin Morrison"/>
    <s v="daviseric@gmail.com"/>
    <x v="2"/>
    <x v="0"/>
    <s v="Workshop A"/>
    <s v="Vegetarian"/>
    <d v="2024-09-25T00:00:00"/>
    <x v="1"/>
    <x v="7"/>
    <x v="22"/>
  </r>
  <r>
    <s v="A0043"/>
    <s v="Amber Vargas"/>
    <s v="mkeller@miller-evans.com"/>
    <x v="1"/>
    <x v="0"/>
    <s v="None"/>
    <s v="Non-Vegetarian"/>
    <d v="2023-02-05T00:00:00"/>
    <x v="0"/>
    <x v="2"/>
    <x v="4"/>
  </r>
  <r>
    <s v="A0044"/>
    <s v="Matthew Ayala"/>
    <s v="carla47@boyer.com"/>
    <x v="2"/>
    <x v="1"/>
    <s v="Workshop A"/>
    <s v="Non-Vegetarian"/>
    <d v="2023-01-15T00:00:00"/>
    <x v="0"/>
    <x v="1"/>
    <x v="1"/>
  </r>
  <r>
    <s v="A0045"/>
    <s v="Dylan Bowen"/>
    <s v="crystal98@smith.net"/>
    <x v="2"/>
    <x v="0"/>
    <s v="None"/>
    <s v="Gluten-Free"/>
    <d v="2024-02-16T00:00:00"/>
    <x v="1"/>
    <x v="2"/>
    <x v="2"/>
  </r>
  <r>
    <s v="A0046"/>
    <s v="Scott Moore"/>
    <s v="paul42@gardner.biz"/>
    <x v="0"/>
    <x v="1"/>
    <s v="None"/>
    <s v="Vegetarian"/>
    <d v="2024-01-31T00:00:00"/>
    <x v="1"/>
    <x v="1"/>
    <x v="8"/>
  </r>
  <r>
    <s v="A0047"/>
    <s v="Richard Sawyer"/>
    <s v="stevenanderson@gmail.com"/>
    <x v="1"/>
    <x v="1"/>
    <s v="None"/>
    <s v="Vegan"/>
    <d v="2024-10-28T00:00:00"/>
    <x v="1"/>
    <x v="9"/>
    <x v="21"/>
  </r>
  <r>
    <s v="A0048"/>
    <s v="Nicole Norris"/>
    <s v="nmorris@yahoo.com"/>
    <x v="2"/>
    <x v="0"/>
    <s v="None"/>
    <s v="Vegan"/>
    <d v="2023-02-09T00:00:00"/>
    <x v="0"/>
    <x v="2"/>
    <x v="4"/>
  </r>
  <r>
    <s v="A0049"/>
    <s v="Patrick Farley"/>
    <s v="moyerduane@page.net"/>
    <x v="0"/>
    <x v="0"/>
    <s v="Workshop C"/>
    <s v="Vegetarian"/>
    <d v="2024-08-09T00:00:00"/>
    <x v="1"/>
    <x v="4"/>
    <x v="18"/>
  </r>
  <r>
    <s v="A0050"/>
    <s v="Jacob Martinez"/>
    <s v="lindamckenzie@yahoo.com"/>
    <x v="2"/>
    <x v="0"/>
    <s v="None"/>
    <s v="Vegan"/>
    <d v="2024-01-31T00:00:00"/>
    <x v="1"/>
    <x v="1"/>
    <x v="8"/>
  </r>
  <r>
    <s v="A0051"/>
    <s v="Julie Santiago"/>
    <s v="jennifer57@wright.info"/>
    <x v="0"/>
    <x v="0"/>
    <s v="Workshop B"/>
    <s v="Vegetarian"/>
    <d v="2024-03-02T00:00:00"/>
    <x v="1"/>
    <x v="0"/>
    <x v="16"/>
  </r>
  <r>
    <s v="A0052"/>
    <s v="Rebecca Chapman"/>
    <s v="sydneyhall@yahoo.com"/>
    <x v="2"/>
    <x v="0"/>
    <s v="Workshop A"/>
    <s v="Gluten-Free"/>
    <d v="2024-03-24T00:00:00"/>
    <x v="1"/>
    <x v="0"/>
    <x v="16"/>
  </r>
  <r>
    <s v="A0053"/>
    <s v="Sarah Day"/>
    <s v="antonio31@suarez.com"/>
    <x v="0"/>
    <x v="0"/>
    <s v="None"/>
    <s v="Non-Vegetarian"/>
    <d v="2023-08-04T00:00:00"/>
    <x v="0"/>
    <x v="4"/>
    <x v="5"/>
  </r>
  <r>
    <s v="A0054"/>
    <s v="Laura Mueller"/>
    <s v="webbmegan@murray.com"/>
    <x v="2"/>
    <x v="1"/>
    <s v="Workshop C"/>
    <s v="Vegetarian"/>
    <d v="2024-08-02T00:00:00"/>
    <x v="1"/>
    <x v="4"/>
    <x v="18"/>
  </r>
  <r>
    <s v="A0055"/>
    <s v="Bradley Rodgers"/>
    <s v="jdunlap@gmail.com"/>
    <x v="1"/>
    <x v="0"/>
    <s v="Workshop B"/>
    <s v="Non-Vegetarian"/>
    <d v="2024-11-02T00:00:00"/>
    <x v="1"/>
    <x v="11"/>
    <x v="23"/>
  </r>
  <r>
    <s v="A0056"/>
    <s v="Tracy Frazier"/>
    <s v="michael45@yahoo.com"/>
    <x v="1"/>
    <x v="0"/>
    <s v="Workshop B"/>
    <s v="Vegan"/>
    <d v="2024-08-30T00:00:00"/>
    <x v="1"/>
    <x v="4"/>
    <x v="18"/>
  </r>
  <r>
    <s v="A0057"/>
    <s v="Michaela Mendoza"/>
    <s v="klinecarlos@gmail.com"/>
    <x v="1"/>
    <x v="0"/>
    <s v="Workshop A"/>
    <s v="Gluten-Free"/>
    <d v="2023-02-22T00:00:00"/>
    <x v="0"/>
    <x v="2"/>
    <x v="4"/>
  </r>
  <r>
    <s v="A0058"/>
    <s v="Kim Williams"/>
    <s v="bradleymelissa@hotmail.com"/>
    <x v="1"/>
    <x v="0"/>
    <s v="Workshop A"/>
    <s v="Vegan"/>
    <d v="2023-04-10T00:00:00"/>
    <x v="0"/>
    <x v="10"/>
    <x v="14"/>
  </r>
  <r>
    <s v="A0059"/>
    <s v="Dustin Bird"/>
    <s v="cantuscott@wilson.com"/>
    <x v="2"/>
    <x v="1"/>
    <s v="Workshop A"/>
    <s v="Non-Vegetarian"/>
    <d v="2023-02-21T00:00:00"/>
    <x v="0"/>
    <x v="2"/>
    <x v="4"/>
  </r>
  <r>
    <s v="A0060"/>
    <s v="Jennifer Bell"/>
    <s v="eatonlauren@yahoo.com"/>
    <x v="0"/>
    <x v="0"/>
    <s v="Workshop A"/>
    <s v="Non-Vegetarian"/>
    <d v="2023-07-06T00:00:00"/>
    <x v="0"/>
    <x v="3"/>
    <x v="3"/>
  </r>
  <r>
    <s v="A0061"/>
    <s v="Kayla Burns"/>
    <s v="anthony24@schmidt.biz"/>
    <x v="0"/>
    <x v="1"/>
    <s v="Workshop C"/>
    <s v="Vegetarian"/>
    <d v="2023-02-14T00:00:00"/>
    <x v="0"/>
    <x v="2"/>
    <x v="4"/>
  </r>
  <r>
    <s v="A0062"/>
    <s v="Natasha Schmidt"/>
    <s v="mariopotts@burke.com"/>
    <x v="0"/>
    <x v="0"/>
    <s v="Workshop A"/>
    <s v="Gluten-Free"/>
    <d v="2024-05-25T00:00:00"/>
    <x v="1"/>
    <x v="8"/>
    <x v="12"/>
  </r>
  <r>
    <s v="A0063"/>
    <s v="Kimberly Forbes"/>
    <s v="blakeandrews@yahoo.com"/>
    <x v="0"/>
    <x v="1"/>
    <s v="None"/>
    <s v="Non-Vegetarian"/>
    <d v="2024-04-09T00:00:00"/>
    <x v="1"/>
    <x v="10"/>
    <x v="17"/>
  </r>
  <r>
    <s v="A0064"/>
    <s v="Frank Stephens"/>
    <s v="amymalone@mayer-roberson.com"/>
    <x v="2"/>
    <x v="0"/>
    <s v="None"/>
    <s v="Non-Vegetarian"/>
    <d v="2024-08-14T00:00:00"/>
    <x v="1"/>
    <x v="4"/>
    <x v="18"/>
  </r>
  <r>
    <s v="A0065"/>
    <s v="James Heath"/>
    <s v="morganstacy@chavez.info"/>
    <x v="1"/>
    <x v="1"/>
    <s v="Workshop A"/>
    <s v="Non-Vegetarian"/>
    <d v="2023-12-03T00:00:00"/>
    <x v="0"/>
    <x v="6"/>
    <x v="9"/>
  </r>
  <r>
    <s v="A0066"/>
    <s v="Cody Parker"/>
    <s v="xdeleon@reynolds-smith.com"/>
    <x v="2"/>
    <x v="1"/>
    <s v="Workshop C"/>
    <s v="Vegan"/>
    <d v="2023-07-26T00:00:00"/>
    <x v="0"/>
    <x v="3"/>
    <x v="3"/>
  </r>
  <r>
    <s v="A0067"/>
    <s v="Bradley Griffin"/>
    <s v="john38@evans-johnson.com"/>
    <x v="0"/>
    <x v="1"/>
    <s v="Workshop A"/>
    <s v="Vegetarian"/>
    <d v="2022-12-20T00:00:00"/>
    <x v="2"/>
    <x v="6"/>
    <x v="15"/>
  </r>
  <r>
    <s v="A0068"/>
    <s v="James Hood"/>
    <s v="mary24@espinoza.com"/>
    <x v="1"/>
    <x v="0"/>
    <s v="Workshop B"/>
    <s v="Non-Vegetarian"/>
    <d v="2024-03-02T00:00:00"/>
    <x v="1"/>
    <x v="0"/>
    <x v="16"/>
  </r>
  <r>
    <s v="A0069"/>
    <s v="Shannon Bradford"/>
    <s v="ewhite@gmail.com"/>
    <x v="1"/>
    <x v="0"/>
    <s v="Workshop B"/>
    <s v="Gluten-Free"/>
    <d v="2023-04-25T00:00:00"/>
    <x v="0"/>
    <x v="10"/>
    <x v="14"/>
  </r>
  <r>
    <s v="A0070"/>
    <s v="Kimberly Saunders"/>
    <s v="mpetty@wood.org"/>
    <x v="2"/>
    <x v="0"/>
    <s v="Workshop A"/>
    <s v="Vegan"/>
    <d v="2024-01-24T00:00:00"/>
    <x v="1"/>
    <x v="1"/>
    <x v="8"/>
  </r>
  <r>
    <s v="A0071"/>
    <s v="Michelle Chavez"/>
    <s v="natalieclayton@contreras-reilly.org"/>
    <x v="2"/>
    <x v="0"/>
    <s v="Workshop C"/>
    <s v="Vegan"/>
    <d v="2024-02-28T00:00:00"/>
    <x v="1"/>
    <x v="2"/>
    <x v="2"/>
  </r>
  <r>
    <s v="A0072"/>
    <s v="Laurie Scott"/>
    <s v="ashley48@roberts-osborne.com"/>
    <x v="1"/>
    <x v="0"/>
    <s v="Workshop A"/>
    <s v="Gluten-Free"/>
    <d v="2023-05-02T00:00:00"/>
    <x v="0"/>
    <x v="8"/>
    <x v="20"/>
  </r>
  <r>
    <s v="A0073"/>
    <s v="Patrick Cox"/>
    <s v="grant63@gmail.com"/>
    <x v="0"/>
    <x v="0"/>
    <s v="Workshop C"/>
    <s v="Non-Vegetarian"/>
    <d v="2024-02-23T00:00:00"/>
    <x v="1"/>
    <x v="2"/>
    <x v="2"/>
  </r>
  <r>
    <s v="A0074"/>
    <s v="Courtney Conner"/>
    <s v="matthewsjessica@stevens-baker.org"/>
    <x v="2"/>
    <x v="1"/>
    <s v="None"/>
    <s v="Gluten-Free"/>
    <d v="2022-12-14T00:00:00"/>
    <x v="2"/>
    <x v="6"/>
    <x v="15"/>
  </r>
  <r>
    <s v="A0075"/>
    <s v="Robert Roberts"/>
    <s v="milleralex@johnson.biz"/>
    <x v="0"/>
    <x v="0"/>
    <s v="None"/>
    <s v="Vegetarian"/>
    <d v="2024-06-18T00:00:00"/>
    <x v="1"/>
    <x v="5"/>
    <x v="7"/>
  </r>
  <r>
    <s v="A0076"/>
    <s v="Heather Rivera"/>
    <s v="stacy40@gmail.com"/>
    <x v="2"/>
    <x v="1"/>
    <s v="Workshop A"/>
    <s v="Vegan"/>
    <d v="2023-04-03T00:00:00"/>
    <x v="0"/>
    <x v="10"/>
    <x v="14"/>
  </r>
  <r>
    <s v="A0077"/>
    <s v="Nicholas Moran"/>
    <s v="morgan12@yahoo.com"/>
    <x v="0"/>
    <x v="1"/>
    <s v="Workshop C"/>
    <s v="Gluten-Free"/>
    <d v="2024-11-09T00:00:00"/>
    <x v="1"/>
    <x v="11"/>
    <x v="23"/>
  </r>
  <r>
    <s v="A0078"/>
    <s v="Timothy Cook"/>
    <s v="livingstonrichard@yahoo.com"/>
    <x v="2"/>
    <x v="0"/>
    <s v="Workshop A"/>
    <s v="Vegan"/>
    <d v="2024-04-17T00:00:00"/>
    <x v="1"/>
    <x v="10"/>
    <x v="17"/>
  </r>
  <r>
    <s v="A0079"/>
    <s v="Robert Parks"/>
    <s v="sreynolds@anderson.com"/>
    <x v="0"/>
    <x v="1"/>
    <s v="Workshop B"/>
    <s v="Non-Vegetarian"/>
    <d v="2023-05-26T00:00:00"/>
    <x v="0"/>
    <x v="8"/>
    <x v="20"/>
  </r>
  <r>
    <s v="A0080"/>
    <s v="Edward Barker"/>
    <s v="courtney57@gmail.com"/>
    <x v="2"/>
    <x v="0"/>
    <s v="Workshop A"/>
    <s v="Non-Vegetarian"/>
    <d v="2022-12-26T00:00:00"/>
    <x v="2"/>
    <x v="6"/>
    <x v="15"/>
  </r>
  <r>
    <s v="A0081"/>
    <s v="William Pierce"/>
    <s v="hoffmancraig@mckenzie.com"/>
    <x v="2"/>
    <x v="0"/>
    <s v="Workshop B"/>
    <s v="Vegetarian"/>
    <d v="2023-02-19T00:00:00"/>
    <x v="0"/>
    <x v="2"/>
    <x v="4"/>
  </r>
  <r>
    <s v="A0082"/>
    <s v="Judith Miller"/>
    <s v="zacharyroy@gmail.com"/>
    <x v="2"/>
    <x v="0"/>
    <s v="Workshop A"/>
    <s v="Vegetarian"/>
    <d v="2022-11-13T00:00:00"/>
    <x v="2"/>
    <x v="11"/>
    <x v="24"/>
  </r>
  <r>
    <s v="A0083"/>
    <s v="Alan Liu"/>
    <s v="wrangel@hotmail.com"/>
    <x v="1"/>
    <x v="0"/>
    <s v="Workshop B"/>
    <s v="Vegetarian"/>
    <d v="2024-08-22T00:00:00"/>
    <x v="1"/>
    <x v="4"/>
    <x v="18"/>
  </r>
  <r>
    <s v="A0084"/>
    <s v="James Villarreal"/>
    <s v="henry03@obrien.net"/>
    <x v="1"/>
    <x v="1"/>
    <s v="Workshop B"/>
    <s v="Non-Vegetarian"/>
    <d v="2024-06-16T00:00:00"/>
    <x v="1"/>
    <x v="5"/>
    <x v="7"/>
  </r>
  <r>
    <s v="A0085"/>
    <s v="Christopher Boyer"/>
    <s v="michaelunderwood@gmail.com"/>
    <x v="0"/>
    <x v="0"/>
    <s v="Workshop B"/>
    <s v="Vegan"/>
    <d v="2024-10-23T00:00:00"/>
    <x v="1"/>
    <x v="9"/>
    <x v="21"/>
  </r>
  <r>
    <s v="A0086"/>
    <s v="Colin Kramer"/>
    <s v="shawnoconnor@hotmail.com"/>
    <x v="1"/>
    <x v="1"/>
    <s v="None"/>
    <s v="Non-Vegetarian"/>
    <d v="2024-10-16T00:00:00"/>
    <x v="1"/>
    <x v="9"/>
    <x v="21"/>
  </r>
  <r>
    <s v="A0087"/>
    <s v="Jacob Benton"/>
    <s v="nathan01@costa-thomas.info"/>
    <x v="1"/>
    <x v="0"/>
    <s v="Workshop A"/>
    <s v="Non-Vegetarian"/>
    <d v="2023-04-12T00:00:00"/>
    <x v="0"/>
    <x v="10"/>
    <x v="14"/>
  </r>
  <r>
    <s v="A0088"/>
    <s v="Elizabeth Orozco"/>
    <s v="pamelagonzalez@rodriguez.com"/>
    <x v="2"/>
    <x v="0"/>
    <s v="None"/>
    <s v="Gluten-Free"/>
    <d v="2023-09-09T00:00:00"/>
    <x v="0"/>
    <x v="7"/>
    <x v="10"/>
  </r>
  <r>
    <s v="A0089"/>
    <s v="Christopher Potts"/>
    <s v="cynthia21@foley.com"/>
    <x v="2"/>
    <x v="0"/>
    <s v="Workshop A"/>
    <s v="Vegetarian"/>
    <d v="2024-06-28T00:00:00"/>
    <x v="1"/>
    <x v="5"/>
    <x v="7"/>
  </r>
  <r>
    <s v="A0090"/>
    <s v="Rodney Jones"/>
    <s v="vaughncaleb@yahoo.com"/>
    <x v="1"/>
    <x v="1"/>
    <s v="None"/>
    <s v="Vegetarian"/>
    <d v="2023-01-17T00:00:00"/>
    <x v="0"/>
    <x v="1"/>
    <x v="1"/>
  </r>
  <r>
    <s v="A0091"/>
    <s v="Carlos Ray"/>
    <s v="matthewhayes@gibson-tucker.org"/>
    <x v="1"/>
    <x v="0"/>
    <s v="None"/>
    <s v="Non-Vegetarian"/>
    <d v="2023-11-03T00:00:00"/>
    <x v="0"/>
    <x v="11"/>
    <x v="19"/>
  </r>
  <r>
    <s v="A0092"/>
    <s v="Veronica Wall"/>
    <s v="riggsjeffrey@jackson.com"/>
    <x v="0"/>
    <x v="0"/>
    <s v="Workshop A"/>
    <s v="Vegan"/>
    <d v="2023-10-25T00:00:00"/>
    <x v="0"/>
    <x v="9"/>
    <x v="13"/>
  </r>
  <r>
    <s v="A0093"/>
    <s v="Susan Johnson"/>
    <s v="larryewing@hotmail.com"/>
    <x v="0"/>
    <x v="0"/>
    <s v="Workshop C"/>
    <s v="Vegan"/>
    <d v="2024-10-06T00:00:00"/>
    <x v="1"/>
    <x v="9"/>
    <x v="21"/>
  </r>
  <r>
    <s v="A0094"/>
    <s v="Sarah Lewis"/>
    <s v="williamramos@wood.com"/>
    <x v="1"/>
    <x v="0"/>
    <s v="None"/>
    <s v="Gluten-Free"/>
    <d v="2024-02-28T00:00:00"/>
    <x v="1"/>
    <x v="2"/>
    <x v="2"/>
  </r>
  <r>
    <s v="A0095"/>
    <s v="Mark Patterson"/>
    <s v="davenportrobert@johnson.biz"/>
    <x v="1"/>
    <x v="1"/>
    <s v="Workshop C"/>
    <s v="Non-Vegetarian"/>
    <d v="2024-09-27T00:00:00"/>
    <x v="1"/>
    <x v="7"/>
    <x v="22"/>
  </r>
  <r>
    <s v="A0096"/>
    <s v="Stephanie Davis"/>
    <s v="james41@jackson.com"/>
    <x v="2"/>
    <x v="0"/>
    <s v="None"/>
    <s v="Non-Vegetarian"/>
    <d v="2023-07-31T00:00:00"/>
    <x v="0"/>
    <x v="3"/>
    <x v="3"/>
  </r>
  <r>
    <s v="A0097"/>
    <s v="Julia Brown"/>
    <s v="gonzalesjames@gmail.com"/>
    <x v="0"/>
    <x v="1"/>
    <s v="Workshop A"/>
    <s v="Gluten-Free"/>
    <d v="2023-06-24T00:00:00"/>
    <x v="0"/>
    <x v="5"/>
    <x v="6"/>
  </r>
  <r>
    <s v="A0098"/>
    <s v="James Kane"/>
    <s v="deanmolly@hall.com"/>
    <x v="0"/>
    <x v="0"/>
    <s v="Workshop C"/>
    <s v="Vegetarian"/>
    <d v="2023-09-11T00:00:00"/>
    <x v="0"/>
    <x v="7"/>
    <x v="10"/>
  </r>
  <r>
    <s v="A0099"/>
    <s v="Melissa Parker"/>
    <s v="nicoleflores@davis-hernandez.com"/>
    <x v="2"/>
    <x v="0"/>
    <s v="None"/>
    <s v="Vegetarian"/>
    <d v="2024-02-11T00:00:00"/>
    <x v="1"/>
    <x v="2"/>
    <x v="2"/>
  </r>
  <r>
    <s v="A0100"/>
    <s v="Emily Williams"/>
    <s v="hpotts@yahoo.com"/>
    <x v="1"/>
    <x v="0"/>
    <s v="None"/>
    <s v="Vegetarian"/>
    <d v="2024-05-13T00:00:00"/>
    <x v="1"/>
    <x v="8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ECE11E-DDD3-46B0-BDA0-7594555315E2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ate group">
  <location ref="A1:B27" firstHeaderRow="1" firstDataRow="1" firstDataCol="1"/>
  <pivotFields count="11">
    <pivotField dataField="1"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Row" showAll="0">
      <items count="26">
        <item x="24"/>
        <item x="15"/>
        <item x="1"/>
        <item x="4"/>
        <item x="0"/>
        <item x="14"/>
        <item x="20"/>
        <item x="6"/>
        <item x="3"/>
        <item x="5"/>
        <item x="10"/>
        <item x="13"/>
        <item x="19"/>
        <item x="9"/>
        <item x="8"/>
        <item x="2"/>
        <item x="16"/>
        <item x="17"/>
        <item x="12"/>
        <item x="7"/>
        <item x="11"/>
        <item x="18"/>
        <item x="22"/>
        <item x="21"/>
        <item x="23"/>
        <item t="default"/>
      </items>
    </pivotField>
  </pivotFields>
  <rowFields count="1">
    <field x="1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Attendanc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AFBC86-BA91-4A7D-8E66-E04CEF18991C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9" rowHeaderCaption="Type">
  <location ref="A33:B36" firstHeaderRow="1" firstDataRow="1" firstDataCol="1"/>
  <pivotFields count="11">
    <pivotField dataField="1"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numFmtId="1"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Attendance" fld="0" subtotal="count" baseField="0" baseItem="0"/>
  </dataFields>
  <chartFormats count="6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BF2B2D-2390-4B8B-8938-D1ACF28C604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2" rowHeaderCaption="Session">
  <location ref="A39:B43" firstHeaderRow="1" firstDataRow="1" firstDataCol="1"/>
  <pivotFields count="11">
    <pivotField dataField="1" showAll="0"/>
    <pivotField showAll="0"/>
    <pivotField showAll="0"/>
    <pivotField axis="axisRow" showAll="0" sortType="a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numFmtId="1" showAll="0"/>
    <pivotField showAll="0"/>
    <pivotField showAll="0"/>
  </pivotFields>
  <rowFields count="1">
    <field x="3"/>
  </rowFields>
  <rowItems count="4">
    <i>
      <x v="2"/>
    </i>
    <i>
      <x v="1"/>
    </i>
    <i>
      <x/>
    </i>
    <i t="grand">
      <x/>
    </i>
  </rowItems>
  <colItems count="1">
    <i/>
  </colItems>
  <dataFields count="1">
    <dataField name="Attendance" fld="0" subtotal="count" baseField="0" baseItem="0"/>
  </dataFields>
  <chartFormats count="2"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EE5C01-449F-490B-8CCA-1E86298A21E5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1" rowHeaderCaption="Month">
  <location ref="A1:B30" firstHeaderRow="1" firstDataRow="1" firstDataCol="1"/>
  <pivotFields count="11"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numFmtId="1" showAll="0">
      <items count="4">
        <item x="2"/>
        <item x="0"/>
        <item x="1"/>
        <item t="default"/>
      </items>
    </pivotField>
    <pivotField axis="axisRow" showAll="0" sortType="ascending">
      <items count="13">
        <item x="1"/>
        <item x="2"/>
        <item x="0"/>
        <item x="10"/>
        <item x="8"/>
        <item x="5"/>
        <item x="3"/>
        <item x="4"/>
        <item x="7"/>
        <item x="9"/>
        <item x="11"/>
        <item x="6"/>
        <item t="default"/>
      </items>
    </pivotField>
    <pivotField showAll="0"/>
  </pivotFields>
  <rowFields count="2">
    <field x="8"/>
    <field x="9"/>
  </rowFields>
  <rowItems count="29">
    <i>
      <x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grand">
      <x/>
    </i>
  </rowItems>
  <colItems count="1">
    <i/>
  </colItems>
  <dataFields count="1">
    <dataField name="Number of attendees" fld="0" subtotal="count" baseField="0" baseItem="0"/>
  </dataFields>
  <chartFormats count="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5CEF67-432A-44A9-A9D2-85B00C599CA7}" name="AttendanceTable" displayName="AttendanceTable" ref="A1:I101" totalsRowShown="0" headerRowDxfId="19" dataDxfId="17" headerRowBorderDxfId="18" tableBorderDxfId="16">
  <autoFilter ref="A1:I101" xr:uid="{00000000-0009-0000-0000-000000000000}"/>
  <tableColumns count="9">
    <tableColumn id="1" xr3:uid="{44E8A195-7971-4B55-8027-6DB123967714}" name="Attendee ID" dataDxfId="15"/>
    <tableColumn id="2" xr3:uid="{652DFD5D-FA0E-4718-B2A0-AA2F107B0813}" name="Name" dataDxfId="14"/>
    <tableColumn id="3" xr3:uid="{7EB0E8F0-AF45-4AC8-ADF1-5DA79F786BDC}" name="Email" dataDxfId="13"/>
    <tableColumn id="4" xr3:uid="{164254F0-B791-4AFD-9C17-B1878737A35B}" name="Session Preference" dataDxfId="12"/>
    <tableColumn id="5" xr3:uid="{74CDE4DA-F129-4FF5-A827-8B01E48D5214}" name="Attendance Type" dataDxfId="11"/>
    <tableColumn id="6" xr3:uid="{EBE46D6A-FD89-438C-96AD-FBC3795E6259}" name="Workshops" dataDxfId="10"/>
    <tableColumn id="7" xr3:uid="{8D71C00A-96A9-43BE-B990-9C122F845B66}" name="Dietary Preference" dataDxfId="9"/>
    <tableColumn id="8" xr3:uid="{C75CF764-CDAC-440E-9B32-6AF4EAF07944}" name="Registration Date" dataDxfId="8"/>
    <tableColumn id="13" xr3:uid="{B4191576-CD67-4E41-8721-D30436537921}" name="Date group" dataDxfId="7">
      <calculatedColumnFormula>TEXT(AttendanceTable[[#This Row],[Registration Date]], "AAAA-MM")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182F48-7EED-4C51-A7A2-90BE444299BF}" name="Forecast" displayName="Forecast" ref="E1:I34" totalsRowShown="0" headerRowDxfId="6" dataDxfId="5">
  <autoFilter ref="E1:I34" xr:uid="{E2182F48-7EED-4C51-A7A2-90BE444299BF}"/>
  <tableColumns count="5">
    <tableColumn id="3" xr3:uid="{24F22B13-19A2-425D-8DDB-33BEB84EC663}" name="Category" dataDxfId="4"/>
    <tableColumn id="1" xr3:uid="{9E812809-2B73-4DDA-935C-48CBE682EC06}" name="Date" dataDxfId="3"/>
    <tableColumn id="2" xr3:uid="{D6663D83-0F77-4A6C-A50A-26B2A30F84E2}" name="Attendance / Prediction" dataDxfId="2"/>
    <tableColumn id="4" xr3:uid="{9D71F3E3-BC16-467C-B262-935F683BF04A}" name="Helper Actual" dataDxfId="1">
      <calculatedColumnFormula>IF(Forecast[[#This Row],[Date]]&lt;=DATE(2024,12,1), Forecast[[#This Row],[Attendance / Prediction]], #N/A)</calculatedColumnFormula>
    </tableColumn>
    <tableColumn id="5" xr3:uid="{990D7FF8-49DA-432E-9B70-BC960D1A9EEB}" name="Helper Forecast" dataDxfId="0">
      <calculatedColumnFormula>IF(Forecast[[#This Row],[Date]]&gt;=DATE(2024,12,1), Forecast[[#This Row],[Attendance / Prediction]], #N/A)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1000"/>
  <sheetViews>
    <sheetView workbookViewId="0">
      <selection activeCell="K20" sqref="K20"/>
    </sheetView>
  </sheetViews>
  <sheetFormatPr baseColWidth="10" defaultColWidth="14.42578125" defaultRowHeight="15" customHeight="1" x14ac:dyDescent="0.25"/>
  <cols>
    <col min="1" max="1" width="14.28515625" customWidth="1"/>
    <col min="2" max="2" width="28.140625" customWidth="1"/>
    <col min="3" max="3" width="34.140625" customWidth="1"/>
    <col min="4" max="4" width="22.140625" customWidth="1"/>
    <col min="5" max="5" width="16" customWidth="1"/>
    <col min="6" max="6" width="22.7109375" customWidth="1"/>
    <col min="7" max="7" width="20.5703125" customWidth="1"/>
    <col min="8" max="8" width="18.85546875" customWidth="1"/>
    <col min="9" max="9" width="16.7109375" customWidth="1"/>
    <col min="10" max="25" width="8.7109375" customWidth="1"/>
  </cols>
  <sheetData>
    <row r="1" spans="1:9" ht="14.25" customHeight="1" x14ac:dyDescent="0.25">
      <c r="A1" s="2" t="s">
        <v>322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19" t="s">
        <v>339</v>
      </c>
    </row>
    <row r="2" spans="1:9" ht="14.25" customHeight="1" x14ac:dyDescent="0.25">
      <c r="A2" s="1" t="s">
        <v>7</v>
      </c>
      <c r="B2" s="1" t="s">
        <v>8</v>
      </c>
      <c r="C2" s="1" t="s">
        <v>9</v>
      </c>
      <c r="D2" s="1" t="s">
        <v>10</v>
      </c>
      <c r="E2" s="1" t="s">
        <v>11</v>
      </c>
      <c r="F2" s="1" t="s">
        <v>12</v>
      </c>
      <c r="G2" s="1" t="s">
        <v>13</v>
      </c>
      <c r="H2" s="3">
        <v>44999</v>
      </c>
      <c r="I2" s="18" t="str">
        <f>TEXT(AttendanceTable[[#This Row],[Registration Date]], "AAAA-MM")</f>
        <v>2023-03</v>
      </c>
    </row>
    <row r="3" spans="1:9" ht="14.25" customHeight="1" x14ac:dyDescent="0.25">
      <c r="A3" s="1" t="s">
        <v>14</v>
      </c>
      <c r="B3" s="1" t="s">
        <v>15</v>
      </c>
      <c r="C3" s="1" t="s">
        <v>16</v>
      </c>
      <c r="D3" s="1" t="s">
        <v>17</v>
      </c>
      <c r="E3" s="1" t="s">
        <v>11</v>
      </c>
      <c r="F3" s="1" t="s">
        <v>18</v>
      </c>
      <c r="G3" s="1" t="s">
        <v>19</v>
      </c>
      <c r="H3" s="3">
        <v>44937</v>
      </c>
      <c r="I3" s="18" t="str">
        <f>TEXT(AttendanceTable[[#This Row],[Registration Date]], "AAAA-MM")</f>
        <v>2023-01</v>
      </c>
    </row>
    <row r="4" spans="1:9" ht="14.25" customHeight="1" x14ac:dyDescent="0.25">
      <c r="A4" s="1" t="s">
        <v>20</v>
      </c>
      <c r="B4" s="1" t="s">
        <v>21</v>
      </c>
      <c r="C4" s="1" t="s">
        <v>22</v>
      </c>
      <c r="D4" s="1" t="s">
        <v>23</v>
      </c>
      <c r="E4" s="1" t="s">
        <v>24</v>
      </c>
      <c r="F4" s="1" t="s">
        <v>12</v>
      </c>
      <c r="G4" s="1" t="s">
        <v>19</v>
      </c>
      <c r="H4" s="3">
        <v>45349</v>
      </c>
      <c r="I4" s="18" t="str">
        <f>TEXT(AttendanceTable[[#This Row],[Registration Date]], "AAAA-MM")</f>
        <v>2024-02</v>
      </c>
    </row>
    <row r="5" spans="1:9" ht="14.25" customHeight="1" x14ac:dyDescent="0.25">
      <c r="A5" s="1" t="s">
        <v>25</v>
      </c>
      <c r="B5" s="1" t="s">
        <v>26</v>
      </c>
      <c r="C5" s="1" t="s">
        <v>27</v>
      </c>
      <c r="D5" s="1" t="s">
        <v>17</v>
      </c>
      <c r="E5" s="1" t="s">
        <v>24</v>
      </c>
      <c r="F5" s="1" t="s">
        <v>28</v>
      </c>
      <c r="G5" s="1" t="s">
        <v>19</v>
      </c>
      <c r="H5" s="3">
        <v>45114</v>
      </c>
      <c r="I5" s="18" t="str">
        <f>TEXT(AttendanceTable[[#This Row],[Registration Date]], "AAAA-MM")</f>
        <v>2023-07</v>
      </c>
    </row>
    <row r="6" spans="1:9" ht="14.25" customHeight="1" x14ac:dyDescent="0.25">
      <c r="A6" s="1" t="s">
        <v>29</v>
      </c>
      <c r="B6" s="1" t="s">
        <v>30</v>
      </c>
      <c r="C6" s="1" t="s">
        <v>31</v>
      </c>
      <c r="D6" s="1" t="s">
        <v>10</v>
      </c>
      <c r="E6" s="1" t="s">
        <v>24</v>
      </c>
      <c r="F6" s="1" t="s">
        <v>32</v>
      </c>
      <c r="G6" s="1" t="s">
        <v>33</v>
      </c>
      <c r="H6" s="3">
        <v>44982</v>
      </c>
      <c r="I6" s="18" t="str">
        <f>TEXT(AttendanceTable[[#This Row],[Registration Date]], "AAAA-MM")</f>
        <v>2023-02</v>
      </c>
    </row>
    <row r="7" spans="1:9" ht="14.25" customHeight="1" x14ac:dyDescent="0.25">
      <c r="A7" s="1" t="s">
        <v>34</v>
      </c>
      <c r="B7" s="1" t="s">
        <v>35</v>
      </c>
      <c r="C7" s="1" t="s">
        <v>36</v>
      </c>
      <c r="D7" s="1" t="s">
        <v>23</v>
      </c>
      <c r="E7" s="1" t="s">
        <v>11</v>
      </c>
      <c r="F7" s="1" t="s">
        <v>18</v>
      </c>
      <c r="G7" s="1" t="s">
        <v>19</v>
      </c>
      <c r="H7" s="3">
        <v>45155</v>
      </c>
      <c r="I7" s="18" t="str">
        <f>TEXT(AttendanceTable[[#This Row],[Registration Date]], "AAAA-MM")</f>
        <v>2023-08</v>
      </c>
    </row>
    <row r="8" spans="1:9" ht="14.25" customHeight="1" x14ac:dyDescent="0.25">
      <c r="A8" s="1" t="s">
        <v>37</v>
      </c>
      <c r="B8" s="1" t="s">
        <v>38</v>
      </c>
      <c r="C8" s="1" t="s">
        <v>39</v>
      </c>
      <c r="D8" s="1" t="s">
        <v>23</v>
      </c>
      <c r="E8" s="1" t="s">
        <v>24</v>
      </c>
      <c r="F8" s="1" t="s">
        <v>18</v>
      </c>
      <c r="G8" s="1" t="s">
        <v>13</v>
      </c>
      <c r="H8" s="3">
        <v>45330</v>
      </c>
      <c r="I8" s="18" t="str">
        <f>TEXT(AttendanceTable[[#This Row],[Registration Date]], "AAAA-MM")</f>
        <v>2024-02</v>
      </c>
    </row>
    <row r="9" spans="1:9" ht="14.25" customHeight="1" x14ac:dyDescent="0.25">
      <c r="A9" s="1" t="s">
        <v>40</v>
      </c>
      <c r="B9" s="1" t="s">
        <v>41</v>
      </c>
      <c r="C9" s="1" t="s">
        <v>323</v>
      </c>
      <c r="D9" s="1" t="s">
        <v>23</v>
      </c>
      <c r="E9" s="1" t="s">
        <v>11</v>
      </c>
      <c r="F9" s="1" t="s">
        <v>32</v>
      </c>
      <c r="G9" s="1" t="s">
        <v>42</v>
      </c>
      <c r="H9" s="3" t="s">
        <v>324</v>
      </c>
      <c r="I9" s="18" t="str">
        <f>TEXT(AttendanceTable[[#This Row],[Registration Date]], "AAAA-MM")</f>
        <v>2023-06</v>
      </c>
    </row>
    <row r="10" spans="1:9" ht="14.25" customHeight="1" x14ac:dyDescent="0.25">
      <c r="A10" s="1" t="s">
        <v>43</v>
      </c>
      <c r="B10" s="1" t="s">
        <v>44</v>
      </c>
      <c r="C10" s="10" t="s">
        <v>45</v>
      </c>
      <c r="D10" s="1" t="s">
        <v>10</v>
      </c>
      <c r="E10" s="1" t="s">
        <v>11</v>
      </c>
      <c r="F10" s="1" t="s">
        <v>18</v>
      </c>
      <c r="G10" s="1" t="s">
        <v>13</v>
      </c>
      <c r="H10" s="3">
        <v>45470</v>
      </c>
      <c r="I10" s="18" t="str">
        <f>TEXT(AttendanceTable[[#This Row],[Registration Date]], "AAAA-MM")</f>
        <v>2024-06</v>
      </c>
    </row>
    <row r="11" spans="1:9" ht="14.25" customHeight="1" x14ac:dyDescent="0.25">
      <c r="A11" s="1" t="s">
        <v>46</v>
      </c>
      <c r="B11" s="1" t="s">
        <v>47</v>
      </c>
      <c r="C11" s="1" t="s">
        <v>48</v>
      </c>
      <c r="D11" s="1" t="s">
        <v>17</v>
      </c>
      <c r="E11" s="1" t="s">
        <v>11</v>
      </c>
      <c r="F11" s="1" t="s">
        <v>28</v>
      </c>
      <c r="G11" s="1" t="s">
        <v>42</v>
      </c>
      <c r="H11" s="3">
        <v>45313</v>
      </c>
      <c r="I11" s="18" t="str">
        <f>TEXT(AttendanceTable[[#This Row],[Registration Date]], "AAAA-MM")</f>
        <v>2024-01</v>
      </c>
    </row>
    <row r="12" spans="1:9" ht="14.25" customHeight="1" x14ac:dyDescent="0.25">
      <c r="A12" s="1" t="s">
        <v>49</v>
      </c>
      <c r="B12" s="1" t="s">
        <v>50</v>
      </c>
      <c r="C12" s="1" t="s">
        <v>51</v>
      </c>
      <c r="D12" s="1" t="s">
        <v>23</v>
      </c>
      <c r="E12" s="1" t="s">
        <v>24</v>
      </c>
      <c r="F12" s="1" t="s">
        <v>18</v>
      </c>
      <c r="G12" s="1" t="s">
        <v>33</v>
      </c>
      <c r="H12" s="3">
        <v>44975</v>
      </c>
      <c r="I12" s="18" t="str">
        <f>TEXT(AttendanceTable[[#This Row],[Registration Date]], "AAAA-MM")</f>
        <v>2023-02</v>
      </c>
    </row>
    <row r="13" spans="1:9" ht="14.25" customHeight="1" x14ac:dyDescent="0.25">
      <c r="A13" s="1" t="s">
        <v>52</v>
      </c>
      <c r="B13" s="1" t="s">
        <v>53</v>
      </c>
      <c r="C13" s="1" t="s">
        <v>54</v>
      </c>
      <c r="D13" s="1" t="s">
        <v>23</v>
      </c>
      <c r="E13" s="1" t="s">
        <v>24</v>
      </c>
      <c r="F13" s="1" t="s">
        <v>32</v>
      </c>
      <c r="G13" s="1" t="s">
        <v>13</v>
      </c>
      <c r="H13" s="3">
        <v>45331</v>
      </c>
      <c r="I13" s="18" t="str">
        <f>TEXT(AttendanceTable[[#This Row],[Registration Date]], "AAAA-MM")</f>
        <v>2024-02</v>
      </c>
    </row>
    <row r="14" spans="1:9" ht="14.25" customHeight="1" x14ac:dyDescent="0.25">
      <c r="A14" s="1" t="s">
        <v>55</v>
      </c>
      <c r="B14" s="1" t="s">
        <v>56</v>
      </c>
      <c r="C14" s="1" t="s">
        <v>57</v>
      </c>
      <c r="D14" s="1" t="s">
        <v>10</v>
      </c>
      <c r="E14" s="1" t="s">
        <v>24</v>
      </c>
      <c r="F14" s="1" t="s">
        <v>18</v>
      </c>
      <c r="G14" s="1" t="s">
        <v>42</v>
      </c>
      <c r="H14" s="3">
        <v>45466</v>
      </c>
      <c r="I14" s="18" t="str">
        <f>TEXT(AttendanceTable[[#This Row],[Registration Date]], "AAAA-MM")</f>
        <v>2024-06</v>
      </c>
    </row>
    <row r="15" spans="1:9" ht="14.25" customHeight="1" x14ac:dyDescent="0.25">
      <c r="A15" s="1" t="s">
        <v>58</v>
      </c>
      <c r="B15" s="1" t="s">
        <v>59</v>
      </c>
      <c r="C15" s="1" t="s">
        <v>60</v>
      </c>
      <c r="D15" s="1" t="s">
        <v>23</v>
      </c>
      <c r="E15" s="1" t="s">
        <v>24</v>
      </c>
      <c r="F15" s="1" t="s">
        <v>28</v>
      </c>
      <c r="G15" s="1" t="s">
        <v>19</v>
      </c>
      <c r="H15" s="3">
        <v>45155</v>
      </c>
      <c r="I15" s="18" t="str">
        <f>TEXT(AttendanceTable[[#This Row],[Registration Date]], "AAAA-MM")</f>
        <v>2023-08</v>
      </c>
    </row>
    <row r="16" spans="1:9" ht="14.25" customHeight="1" x14ac:dyDescent="0.25">
      <c r="A16" s="1" t="s">
        <v>61</v>
      </c>
      <c r="B16" s="1" t="s">
        <v>62</v>
      </c>
      <c r="C16" s="1" t="s">
        <v>63</v>
      </c>
      <c r="D16" s="1" t="s">
        <v>10</v>
      </c>
      <c r="E16" s="1" t="s">
        <v>24</v>
      </c>
      <c r="F16" s="1" t="s">
        <v>18</v>
      </c>
      <c r="G16" s="1" t="s">
        <v>19</v>
      </c>
      <c r="H16" s="3">
        <v>45269</v>
      </c>
      <c r="I16" s="18" t="str">
        <f>TEXT(AttendanceTable[[#This Row],[Registration Date]], "AAAA-MM")</f>
        <v>2023-12</v>
      </c>
    </row>
    <row r="17" spans="1:9" ht="14.25" customHeight="1" x14ac:dyDescent="0.25">
      <c r="A17" s="1" t="s">
        <v>64</v>
      </c>
      <c r="B17" s="1" t="s">
        <v>65</v>
      </c>
      <c r="C17" s="1" t="s">
        <v>66</v>
      </c>
      <c r="D17" s="1" t="s">
        <v>17</v>
      </c>
      <c r="E17" s="1" t="s">
        <v>24</v>
      </c>
      <c r="F17" s="1" t="s">
        <v>28</v>
      </c>
      <c r="G17" s="1" t="s">
        <v>19</v>
      </c>
      <c r="H17" s="3">
        <v>45199</v>
      </c>
      <c r="I17" s="18" t="str">
        <f>TEXT(AttendanceTable[[#This Row],[Registration Date]], "AAAA-MM")</f>
        <v>2023-09</v>
      </c>
    </row>
    <row r="18" spans="1:9" ht="14.25" customHeight="1" x14ac:dyDescent="0.25">
      <c r="A18" s="1" t="s">
        <v>67</v>
      </c>
      <c r="B18" s="1" t="s">
        <v>68</v>
      </c>
      <c r="C18" s="1" t="s">
        <v>69</v>
      </c>
      <c r="D18" s="1" t="s">
        <v>10</v>
      </c>
      <c r="E18" s="1" t="s">
        <v>11</v>
      </c>
      <c r="F18" s="1" t="s">
        <v>12</v>
      </c>
      <c r="G18" s="1" t="s">
        <v>42</v>
      </c>
      <c r="H18" s="3">
        <v>45474</v>
      </c>
      <c r="I18" s="18" t="str">
        <f>TEXT(AttendanceTable[[#This Row],[Registration Date]], "AAAA-MM")</f>
        <v>2024-07</v>
      </c>
    </row>
    <row r="19" spans="1:9" ht="14.25" customHeight="1" x14ac:dyDescent="0.25">
      <c r="A19" s="1" t="s">
        <v>70</v>
      </c>
      <c r="B19" s="1" t="s">
        <v>71</v>
      </c>
      <c r="C19" s="1" t="s">
        <v>72</v>
      </c>
      <c r="D19" s="1" t="s">
        <v>17</v>
      </c>
      <c r="E19" s="1" t="s">
        <v>11</v>
      </c>
      <c r="F19" s="1" t="s">
        <v>28</v>
      </c>
      <c r="G19" s="1" t="s">
        <v>13</v>
      </c>
      <c r="H19" s="3">
        <v>45416</v>
      </c>
      <c r="I19" s="18" t="str">
        <f>TEXT(AttendanceTable[[#This Row],[Registration Date]], "AAAA-MM")</f>
        <v>2024-05</v>
      </c>
    </row>
    <row r="20" spans="1:9" ht="14.25" customHeight="1" x14ac:dyDescent="0.25">
      <c r="A20" s="1" t="s">
        <v>73</v>
      </c>
      <c r="B20" s="1" t="s">
        <v>74</v>
      </c>
      <c r="C20" s="1" t="s">
        <v>75</v>
      </c>
      <c r="D20" s="1" t="s">
        <v>17</v>
      </c>
      <c r="E20" s="1" t="s">
        <v>24</v>
      </c>
      <c r="F20" s="1" t="s">
        <v>12</v>
      </c>
      <c r="G20" s="1" t="s">
        <v>33</v>
      </c>
      <c r="H20" s="3">
        <v>45213</v>
      </c>
      <c r="I20" s="18" t="str">
        <f>TEXT(AttendanceTable[[#This Row],[Registration Date]], "AAAA-MM")</f>
        <v>2023-10</v>
      </c>
    </row>
    <row r="21" spans="1:9" ht="14.25" customHeight="1" x14ac:dyDescent="0.25">
      <c r="A21" s="1" t="s">
        <v>76</v>
      </c>
      <c r="B21" s="1" t="s">
        <v>77</v>
      </c>
      <c r="C21" s="1" t="s">
        <v>78</v>
      </c>
      <c r="D21" s="1" t="s">
        <v>17</v>
      </c>
      <c r="E21" s="1" t="s">
        <v>24</v>
      </c>
      <c r="F21" s="1" t="s">
        <v>28</v>
      </c>
      <c r="G21" s="1" t="s">
        <v>13</v>
      </c>
      <c r="H21" s="3">
        <v>45036</v>
      </c>
      <c r="I21" s="18" t="str">
        <f>TEXT(AttendanceTable[[#This Row],[Registration Date]], "AAAA-MM")</f>
        <v>2023-04</v>
      </c>
    </row>
    <row r="22" spans="1:9" ht="14.25" customHeight="1" x14ac:dyDescent="0.25">
      <c r="A22" s="1" t="s">
        <v>79</v>
      </c>
      <c r="B22" s="1" t="s">
        <v>80</v>
      </c>
      <c r="C22" s="1" t="s">
        <v>81</v>
      </c>
      <c r="D22" s="1" t="s">
        <v>17</v>
      </c>
      <c r="E22" s="1" t="s">
        <v>11</v>
      </c>
      <c r="F22" s="1" t="s">
        <v>12</v>
      </c>
      <c r="G22" s="1" t="s">
        <v>42</v>
      </c>
      <c r="H22" s="3">
        <v>45131</v>
      </c>
      <c r="I22" s="18" t="str">
        <f>TEXT(AttendanceTable[[#This Row],[Registration Date]], "AAAA-MM")</f>
        <v>2023-07</v>
      </c>
    </row>
    <row r="23" spans="1:9" ht="14.25" customHeight="1" x14ac:dyDescent="0.25">
      <c r="A23" s="1" t="s">
        <v>82</v>
      </c>
      <c r="B23" s="1" t="s">
        <v>83</v>
      </c>
      <c r="C23" s="1" t="s">
        <v>84</v>
      </c>
      <c r="D23" s="1" t="s">
        <v>17</v>
      </c>
      <c r="E23" s="1" t="s">
        <v>11</v>
      </c>
      <c r="F23" s="1" t="s">
        <v>12</v>
      </c>
      <c r="G23" s="1" t="s">
        <v>33</v>
      </c>
      <c r="H23" s="3">
        <v>44926</v>
      </c>
      <c r="I23" s="18" t="str">
        <f>TEXT(AttendanceTable[[#This Row],[Registration Date]], "AAAA-MM")</f>
        <v>2022-12</v>
      </c>
    </row>
    <row r="24" spans="1:9" ht="14.25" customHeight="1" x14ac:dyDescent="0.25">
      <c r="A24" s="1" t="s">
        <v>85</v>
      </c>
      <c r="B24" s="1" t="s">
        <v>86</v>
      </c>
      <c r="C24" s="1" t="s">
        <v>87</v>
      </c>
      <c r="D24" s="1" t="s">
        <v>17</v>
      </c>
      <c r="E24" s="1" t="s">
        <v>11</v>
      </c>
      <c r="F24" s="1" t="s">
        <v>12</v>
      </c>
      <c r="G24" s="1" t="s">
        <v>33</v>
      </c>
      <c r="H24" s="3">
        <v>45343</v>
      </c>
      <c r="I24" s="18" t="str">
        <f>TEXT(AttendanceTable[[#This Row],[Registration Date]], "AAAA-MM")</f>
        <v>2024-02</v>
      </c>
    </row>
    <row r="25" spans="1:9" ht="14.25" customHeight="1" x14ac:dyDescent="0.25">
      <c r="A25" s="1" t="s">
        <v>88</v>
      </c>
      <c r="B25" s="1" t="s">
        <v>89</v>
      </c>
      <c r="C25" s="1" t="s">
        <v>90</v>
      </c>
      <c r="D25" s="1" t="s">
        <v>17</v>
      </c>
      <c r="E25" s="1" t="s">
        <v>24</v>
      </c>
      <c r="F25" s="1" t="s">
        <v>28</v>
      </c>
      <c r="G25" s="1" t="s">
        <v>19</v>
      </c>
      <c r="H25" s="3">
        <v>45040</v>
      </c>
      <c r="I25" s="18" t="str">
        <f>TEXT(AttendanceTable[[#This Row],[Registration Date]], "AAAA-MM")</f>
        <v>2023-04</v>
      </c>
    </row>
    <row r="26" spans="1:9" ht="14.25" customHeight="1" x14ac:dyDescent="0.25">
      <c r="A26" s="1" t="s">
        <v>91</v>
      </c>
      <c r="B26" s="1" t="s">
        <v>92</v>
      </c>
      <c r="C26" s="1" t="s">
        <v>93</v>
      </c>
      <c r="D26" s="1" t="s">
        <v>17</v>
      </c>
      <c r="E26" s="1" t="s">
        <v>11</v>
      </c>
      <c r="F26" s="1" t="s">
        <v>28</v>
      </c>
      <c r="G26" s="1" t="s">
        <v>33</v>
      </c>
      <c r="H26" s="3">
        <v>45313</v>
      </c>
      <c r="I26" s="18" t="str">
        <f>TEXT(AttendanceTable[[#This Row],[Registration Date]], "AAAA-MM")</f>
        <v>2024-01</v>
      </c>
    </row>
    <row r="27" spans="1:9" ht="14.25" customHeight="1" x14ac:dyDescent="0.25">
      <c r="A27" s="1" t="s">
        <v>94</v>
      </c>
      <c r="B27" s="1" t="s">
        <v>95</v>
      </c>
      <c r="C27" s="1" t="s">
        <v>96</v>
      </c>
      <c r="D27" s="1" t="s">
        <v>17</v>
      </c>
      <c r="E27" s="1" t="s">
        <v>11</v>
      </c>
      <c r="F27" s="1" t="s">
        <v>32</v>
      </c>
      <c r="G27" s="1" t="s">
        <v>13</v>
      </c>
      <c r="H27" s="3">
        <v>45373</v>
      </c>
      <c r="I27" s="18" t="str">
        <f>TEXT(AttendanceTable[[#This Row],[Registration Date]], "AAAA-MM")</f>
        <v>2024-03</v>
      </c>
    </row>
    <row r="28" spans="1:9" ht="14.25" customHeight="1" x14ac:dyDescent="0.25">
      <c r="A28" s="1" t="s">
        <v>97</v>
      </c>
      <c r="B28" s="1" t="s">
        <v>98</v>
      </c>
      <c r="C28" s="1" t="s">
        <v>99</v>
      </c>
      <c r="D28" s="1" t="s">
        <v>23</v>
      </c>
      <c r="E28" s="1" t="s">
        <v>24</v>
      </c>
      <c r="F28" s="1" t="s">
        <v>12</v>
      </c>
      <c r="G28" s="1" t="s">
        <v>13</v>
      </c>
      <c r="H28" s="3">
        <v>45410</v>
      </c>
      <c r="I28" s="18" t="str">
        <f>TEXT(AttendanceTable[[#This Row],[Registration Date]], "AAAA-MM")</f>
        <v>2024-04</v>
      </c>
    </row>
    <row r="29" spans="1:9" ht="14.25" customHeight="1" x14ac:dyDescent="0.25">
      <c r="A29" s="1" t="s">
        <v>100</v>
      </c>
      <c r="B29" s="1" t="s">
        <v>101</v>
      </c>
      <c r="C29" s="1" t="s">
        <v>102</v>
      </c>
      <c r="D29" s="1" t="s">
        <v>17</v>
      </c>
      <c r="E29" s="1" t="s">
        <v>11</v>
      </c>
      <c r="F29" s="1" t="s">
        <v>18</v>
      </c>
      <c r="G29" s="1" t="s">
        <v>13</v>
      </c>
      <c r="H29" s="3">
        <v>45230</v>
      </c>
      <c r="I29" s="18" t="str">
        <f>TEXT(AttendanceTable[[#This Row],[Registration Date]], "AAAA-MM")</f>
        <v>2023-10</v>
      </c>
    </row>
    <row r="30" spans="1:9" ht="14.25" customHeight="1" x14ac:dyDescent="0.25">
      <c r="A30" s="1" t="s">
        <v>103</v>
      </c>
      <c r="B30" s="1" t="s">
        <v>104</v>
      </c>
      <c r="C30" s="1" t="s">
        <v>105</v>
      </c>
      <c r="D30" s="1" t="s">
        <v>23</v>
      </c>
      <c r="E30" s="1" t="s">
        <v>24</v>
      </c>
      <c r="F30" s="1" t="s">
        <v>12</v>
      </c>
      <c r="G30" s="1" t="s">
        <v>13</v>
      </c>
      <c r="H30" s="3">
        <v>45215</v>
      </c>
      <c r="I30" s="18" t="str">
        <f>TEXT(AttendanceTable[[#This Row],[Registration Date]], "AAAA-MM")</f>
        <v>2023-10</v>
      </c>
    </row>
    <row r="31" spans="1:9" ht="14.25" customHeight="1" x14ac:dyDescent="0.25">
      <c r="A31" s="1" t="s">
        <v>106</v>
      </c>
      <c r="B31" s="1" t="s">
        <v>107</v>
      </c>
      <c r="C31" s="1" t="s">
        <v>108</v>
      </c>
      <c r="D31" s="1" t="s">
        <v>23</v>
      </c>
      <c r="E31" s="1" t="s">
        <v>11</v>
      </c>
      <c r="F31" s="1" t="s">
        <v>18</v>
      </c>
      <c r="G31" s="1" t="s">
        <v>19</v>
      </c>
      <c r="H31" s="3">
        <v>45530</v>
      </c>
      <c r="I31" s="18" t="str">
        <f>TEXT(AttendanceTable[[#This Row],[Registration Date]], "AAAA-MM")</f>
        <v>2024-08</v>
      </c>
    </row>
    <row r="32" spans="1:9" ht="14.25" customHeight="1" x14ac:dyDescent="0.25">
      <c r="A32" s="1" t="s">
        <v>109</v>
      </c>
      <c r="B32" s="1" t="s">
        <v>110</v>
      </c>
      <c r="C32" s="1" t="s">
        <v>111</v>
      </c>
      <c r="D32" s="1" t="s">
        <v>10</v>
      </c>
      <c r="E32" s="1" t="s">
        <v>24</v>
      </c>
      <c r="F32" s="1" t="s">
        <v>28</v>
      </c>
      <c r="G32" s="1" t="s">
        <v>33</v>
      </c>
      <c r="H32" s="3">
        <v>45533</v>
      </c>
      <c r="I32" s="18" t="str">
        <f>TEXT(AttendanceTable[[#This Row],[Registration Date]], "AAAA-MM")</f>
        <v>2024-08</v>
      </c>
    </row>
    <row r="33" spans="1:9" ht="14.25" customHeight="1" x14ac:dyDescent="0.25">
      <c r="A33" s="1" t="s">
        <v>112</v>
      </c>
      <c r="B33" s="1" t="s">
        <v>113</v>
      </c>
      <c r="C33" s="1" t="s">
        <v>114</v>
      </c>
      <c r="D33" s="1" t="s">
        <v>23</v>
      </c>
      <c r="E33" s="1" t="s">
        <v>11</v>
      </c>
      <c r="F33" s="1" t="s">
        <v>12</v>
      </c>
      <c r="G33" s="1" t="s">
        <v>42</v>
      </c>
      <c r="H33" s="3">
        <v>45299</v>
      </c>
      <c r="I33" s="18" t="str">
        <f>TEXT(AttendanceTable[[#This Row],[Registration Date]], "AAAA-MM")</f>
        <v>2024-01</v>
      </c>
    </row>
    <row r="34" spans="1:9" ht="14.25" customHeight="1" x14ac:dyDescent="0.25">
      <c r="A34" s="1" t="s">
        <v>115</v>
      </c>
      <c r="B34" s="1" t="s">
        <v>116</v>
      </c>
      <c r="C34" s="1" t="s">
        <v>117</v>
      </c>
      <c r="D34" s="1" t="s">
        <v>23</v>
      </c>
      <c r="E34" s="1" t="s">
        <v>24</v>
      </c>
      <c r="F34" s="1" t="s">
        <v>32</v>
      </c>
      <c r="G34" s="1" t="s">
        <v>13</v>
      </c>
      <c r="H34" s="3">
        <v>45260</v>
      </c>
      <c r="I34" s="18" t="str">
        <f>TEXT(AttendanceTable[[#This Row],[Registration Date]], "AAAA-MM")</f>
        <v>2023-11</v>
      </c>
    </row>
    <row r="35" spans="1:9" ht="14.25" customHeight="1" x14ac:dyDescent="0.25">
      <c r="A35" s="1" t="s">
        <v>118</v>
      </c>
      <c r="B35" s="1" t="s">
        <v>119</v>
      </c>
      <c r="C35" s="1" t="s">
        <v>120</v>
      </c>
      <c r="D35" s="1" t="s">
        <v>17</v>
      </c>
      <c r="E35" s="1" t="s">
        <v>24</v>
      </c>
      <c r="F35" s="1" t="s">
        <v>12</v>
      </c>
      <c r="G35" s="1" t="s">
        <v>42</v>
      </c>
      <c r="H35" s="3">
        <v>45368</v>
      </c>
      <c r="I35" s="18" t="str">
        <f>TEXT(AttendanceTable[[#This Row],[Registration Date]], "AAAA-MM")</f>
        <v>2024-03</v>
      </c>
    </row>
    <row r="36" spans="1:9" ht="14.25" customHeight="1" x14ac:dyDescent="0.25">
      <c r="A36" s="1" t="s">
        <v>121</v>
      </c>
      <c r="B36" s="1" t="s">
        <v>122</v>
      </c>
      <c r="C36" s="1" t="s">
        <v>123</v>
      </c>
      <c r="D36" s="1" t="s">
        <v>23</v>
      </c>
      <c r="E36" s="1" t="s">
        <v>24</v>
      </c>
      <c r="F36" s="1" t="s">
        <v>18</v>
      </c>
      <c r="G36" s="1" t="s">
        <v>19</v>
      </c>
      <c r="H36" s="3">
        <v>45476</v>
      </c>
      <c r="I36" s="18" t="str">
        <f>TEXT(AttendanceTable[[#This Row],[Registration Date]], "AAAA-MM")</f>
        <v>2024-07</v>
      </c>
    </row>
    <row r="37" spans="1:9" ht="14.25" customHeight="1" x14ac:dyDescent="0.25">
      <c r="A37" s="1" t="s">
        <v>124</v>
      </c>
      <c r="B37" s="1" t="s">
        <v>125</v>
      </c>
      <c r="C37" s="1" t="s">
        <v>126</v>
      </c>
      <c r="D37" s="1" t="s">
        <v>10</v>
      </c>
      <c r="E37" s="1" t="s">
        <v>11</v>
      </c>
      <c r="F37" s="1" t="s">
        <v>12</v>
      </c>
      <c r="G37" s="1" t="s">
        <v>33</v>
      </c>
      <c r="H37" s="3">
        <v>45484</v>
      </c>
      <c r="I37" s="18" t="str">
        <f>TEXT(AttendanceTable[[#This Row],[Registration Date]], "AAAA-MM")</f>
        <v>2024-07</v>
      </c>
    </row>
    <row r="38" spans="1:9" ht="14.25" customHeight="1" x14ac:dyDescent="0.25">
      <c r="A38" s="1" t="s">
        <v>127</v>
      </c>
      <c r="B38" s="1" t="s">
        <v>128</v>
      </c>
      <c r="C38" s="1" t="s">
        <v>129</v>
      </c>
      <c r="D38" s="1" t="s">
        <v>23</v>
      </c>
      <c r="E38" s="1" t="s">
        <v>24</v>
      </c>
      <c r="F38" s="1" t="s">
        <v>18</v>
      </c>
      <c r="G38" s="1" t="s">
        <v>42</v>
      </c>
      <c r="H38" s="3">
        <v>45071</v>
      </c>
      <c r="I38" s="18" t="str">
        <f>TEXT(AttendanceTable[[#This Row],[Registration Date]], "AAAA-MM")</f>
        <v>2023-05</v>
      </c>
    </row>
    <row r="39" spans="1:9" ht="14.25" customHeight="1" x14ac:dyDescent="0.25">
      <c r="A39" s="1" t="s">
        <v>130</v>
      </c>
      <c r="B39" s="1" t="s">
        <v>131</v>
      </c>
      <c r="C39" s="1" t="s">
        <v>132</v>
      </c>
      <c r="D39" s="1" t="s">
        <v>17</v>
      </c>
      <c r="E39" s="1" t="s">
        <v>11</v>
      </c>
      <c r="F39" s="1" t="s">
        <v>28</v>
      </c>
      <c r="G39" s="1" t="s">
        <v>13</v>
      </c>
      <c r="H39" s="3">
        <v>45307</v>
      </c>
      <c r="I39" s="18" t="str">
        <f>TEXT(AttendanceTable[[#This Row],[Registration Date]], "AAAA-MM")</f>
        <v>2024-01</v>
      </c>
    </row>
    <row r="40" spans="1:9" ht="14.25" customHeight="1" x14ac:dyDescent="0.25">
      <c r="A40" s="1" t="s">
        <v>133</v>
      </c>
      <c r="B40" s="1" t="s">
        <v>134</v>
      </c>
      <c r="C40" s="1" t="s">
        <v>135</v>
      </c>
      <c r="D40" s="1" t="s">
        <v>10</v>
      </c>
      <c r="E40" s="1" t="s">
        <v>24</v>
      </c>
      <c r="F40" s="1" t="s">
        <v>32</v>
      </c>
      <c r="G40" s="1" t="s">
        <v>42</v>
      </c>
      <c r="H40" s="3">
        <v>45590</v>
      </c>
      <c r="I40" s="18" t="str">
        <f>TEXT(AttendanceTable[[#This Row],[Registration Date]], "AAAA-MM")</f>
        <v>2024-10</v>
      </c>
    </row>
    <row r="41" spans="1:9" ht="14.25" customHeight="1" x14ac:dyDescent="0.25">
      <c r="A41" s="1" t="s">
        <v>136</v>
      </c>
      <c r="B41" s="1" t="s">
        <v>137</v>
      </c>
      <c r="C41" s="1" t="s">
        <v>138</v>
      </c>
      <c r="D41" s="1" t="s">
        <v>17</v>
      </c>
      <c r="E41" s="1" t="s">
        <v>11</v>
      </c>
      <c r="F41" s="1" t="s">
        <v>28</v>
      </c>
      <c r="G41" s="1" t="s">
        <v>13</v>
      </c>
      <c r="H41" s="3">
        <v>45456</v>
      </c>
      <c r="I41" s="18" t="str">
        <f>TEXT(AttendanceTable[[#This Row],[Registration Date]], "AAAA-MM")</f>
        <v>2024-06</v>
      </c>
    </row>
    <row r="42" spans="1:9" ht="14.25" customHeight="1" x14ac:dyDescent="0.25">
      <c r="A42" s="1" t="s">
        <v>139</v>
      </c>
      <c r="B42" s="1" t="s">
        <v>140</v>
      </c>
      <c r="C42" s="1" t="s">
        <v>141</v>
      </c>
      <c r="D42" s="1" t="s">
        <v>10</v>
      </c>
      <c r="E42" s="1" t="s">
        <v>24</v>
      </c>
      <c r="F42" s="1" t="s">
        <v>12</v>
      </c>
      <c r="G42" s="1" t="s">
        <v>13</v>
      </c>
      <c r="H42" s="3">
        <v>45566</v>
      </c>
      <c r="I42" s="18" t="str">
        <f>TEXT(AttendanceTable[[#This Row],[Registration Date]], "AAAA-MM")</f>
        <v>2024-10</v>
      </c>
    </row>
    <row r="43" spans="1:9" ht="14.25" customHeight="1" x14ac:dyDescent="0.25">
      <c r="A43" s="1" t="s">
        <v>142</v>
      </c>
      <c r="B43" s="1" t="s">
        <v>143</v>
      </c>
      <c r="C43" s="1" t="s">
        <v>144</v>
      </c>
      <c r="D43" s="1" t="s">
        <v>23</v>
      </c>
      <c r="E43" s="1" t="s">
        <v>11</v>
      </c>
      <c r="F43" s="1" t="s">
        <v>28</v>
      </c>
      <c r="G43" s="1" t="s">
        <v>13</v>
      </c>
      <c r="H43" s="3">
        <v>45560</v>
      </c>
      <c r="I43" s="18" t="str">
        <f>TEXT(AttendanceTable[[#This Row],[Registration Date]], "AAAA-MM")</f>
        <v>2024-09</v>
      </c>
    </row>
    <row r="44" spans="1:9" ht="14.25" customHeight="1" x14ac:dyDescent="0.25">
      <c r="A44" s="1" t="s">
        <v>145</v>
      </c>
      <c r="B44" s="1" t="s">
        <v>146</v>
      </c>
      <c r="C44" s="1" t="s">
        <v>147</v>
      </c>
      <c r="D44" s="1" t="s">
        <v>17</v>
      </c>
      <c r="E44" s="1" t="s">
        <v>11</v>
      </c>
      <c r="F44" s="1" t="s">
        <v>12</v>
      </c>
      <c r="G44" s="1" t="s">
        <v>42</v>
      </c>
      <c r="H44" s="3">
        <v>44962</v>
      </c>
      <c r="I44" s="18" t="str">
        <f>TEXT(AttendanceTable[[#This Row],[Registration Date]], "AAAA-MM")</f>
        <v>2023-02</v>
      </c>
    </row>
    <row r="45" spans="1:9" ht="14.25" customHeight="1" x14ac:dyDescent="0.25">
      <c r="A45" s="1" t="s">
        <v>148</v>
      </c>
      <c r="B45" s="1" t="s">
        <v>149</v>
      </c>
      <c r="C45" s="1" t="s">
        <v>150</v>
      </c>
      <c r="D45" s="1" t="s">
        <v>23</v>
      </c>
      <c r="E45" s="1" t="s">
        <v>24</v>
      </c>
      <c r="F45" s="1" t="s">
        <v>28</v>
      </c>
      <c r="G45" s="1" t="s">
        <v>42</v>
      </c>
      <c r="H45" s="3">
        <v>44941</v>
      </c>
      <c r="I45" s="18" t="str">
        <f>TEXT(AttendanceTable[[#This Row],[Registration Date]], "AAAA-MM")</f>
        <v>2023-01</v>
      </c>
    </row>
    <row r="46" spans="1:9" ht="14.25" customHeight="1" x14ac:dyDescent="0.25">
      <c r="A46" s="1" t="s">
        <v>151</v>
      </c>
      <c r="B46" s="1" t="s">
        <v>152</v>
      </c>
      <c r="C46" s="1" t="s">
        <v>153</v>
      </c>
      <c r="D46" s="1" t="s">
        <v>23</v>
      </c>
      <c r="E46" s="1" t="s">
        <v>11</v>
      </c>
      <c r="F46" s="1" t="s">
        <v>12</v>
      </c>
      <c r="G46" s="1" t="s">
        <v>19</v>
      </c>
      <c r="H46" s="3">
        <v>45338</v>
      </c>
      <c r="I46" s="18" t="str">
        <f>TEXT(AttendanceTable[[#This Row],[Registration Date]], "AAAA-MM")</f>
        <v>2024-02</v>
      </c>
    </row>
    <row r="47" spans="1:9" ht="14.25" customHeight="1" x14ac:dyDescent="0.25">
      <c r="A47" s="1" t="s">
        <v>154</v>
      </c>
      <c r="B47" s="1" t="s">
        <v>155</v>
      </c>
      <c r="C47" s="1" t="s">
        <v>156</v>
      </c>
      <c r="D47" s="1" t="s">
        <v>10</v>
      </c>
      <c r="E47" s="1" t="s">
        <v>24</v>
      </c>
      <c r="F47" s="1" t="s">
        <v>12</v>
      </c>
      <c r="G47" s="1" t="s">
        <v>13</v>
      </c>
      <c r="H47" s="3">
        <v>45322</v>
      </c>
      <c r="I47" s="18" t="str">
        <f>TEXT(AttendanceTable[[#This Row],[Registration Date]], "AAAA-MM")</f>
        <v>2024-01</v>
      </c>
    </row>
    <row r="48" spans="1:9" ht="14.25" customHeight="1" x14ac:dyDescent="0.25">
      <c r="A48" s="1" t="s">
        <v>157</v>
      </c>
      <c r="B48" s="1" t="s">
        <v>158</v>
      </c>
      <c r="C48" s="1" t="s">
        <v>159</v>
      </c>
      <c r="D48" s="1" t="s">
        <v>17</v>
      </c>
      <c r="E48" s="1" t="s">
        <v>24</v>
      </c>
      <c r="F48" s="1" t="s">
        <v>12</v>
      </c>
      <c r="G48" s="1" t="s">
        <v>33</v>
      </c>
      <c r="H48" s="3">
        <v>45593</v>
      </c>
      <c r="I48" s="18" t="str">
        <f>TEXT(AttendanceTable[[#This Row],[Registration Date]], "AAAA-MM")</f>
        <v>2024-10</v>
      </c>
    </row>
    <row r="49" spans="1:9" ht="14.25" customHeight="1" x14ac:dyDescent="0.25">
      <c r="A49" s="1" t="s">
        <v>160</v>
      </c>
      <c r="B49" s="1" t="s">
        <v>161</v>
      </c>
      <c r="C49" s="1" t="s">
        <v>162</v>
      </c>
      <c r="D49" s="1" t="s">
        <v>23</v>
      </c>
      <c r="E49" s="1" t="s">
        <v>11</v>
      </c>
      <c r="F49" s="1" t="s">
        <v>12</v>
      </c>
      <c r="G49" s="1" t="s">
        <v>33</v>
      </c>
      <c r="H49" s="3">
        <v>44966</v>
      </c>
      <c r="I49" s="18" t="str">
        <f>TEXT(AttendanceTable[[#This Row],[Registration Date]], "AAAA-MM")</f>
        <v>2023-02</v>
      </c>
    </row>
    <row r="50" spans="1:9" ht="14.25" customHeight="1" x14ac:dyDescent="0.25">
      <c r="A50" s="1" t="s">
        <v>163</v>
      </c>
      <c r="B50" s="1" t="s">
        <v>164</v>
      </c>
      <c r="C50" s="1" t="s">
        <v>165</v>
      </c>
      <c r="D50" s="1" t="s">
        <v>10</v>
      </c>
      <c r="E50" s="1" t="s">
        <v>11</v>
      </c>
      <c r="F50" s="1" t="s">
        <v>18</v>
      </c>
      <c r="G50" s="1" t="s">
        <v>13</v>
      </c>
      <c r="H50" s="3">
        <v>45513</v>
      </c>
      <c r="I50" s="18" t="str">
        <f>TEXT(AttendanceTable[[#This Row],[Registration Date]], "AAAA-MM")</f>
        <v>2024-08</v>
      </c>
    </row>
    <row r="51" spans="1:9" ht="14.25" customHeight="1" x14ac:dyDescent="0.25">
      <c r="A51" s="1" t="s">
        <v>166</v>
      </c>
      <c r="B51" s="1" t="s">
        <v>167</v>
      </c>
      <c r="C51" s="1" t="s">
        <v>168</v>
      </c>
      <c r="D51" s="1" t="s">
        <v>23</v>
      </c>
      <c r="E51" s="1" t="s">
        <v>11</v>
      </c>
      <c r="F51" s="1" t="s">
        <v>12</v>
      </c>
      <c r="G51" s="1" t="s">
        <v>33</v>
      </c>
      <c r="H51" s="3">
        <v>45322</v>
      </c>
      <c r="I51" s="18" t="str">
        <f>TEXT(AttendanceTable[[#This Row],[Registration Date]], "AAAA-MM")</f>
        <v>2024-01</v>
      </c>
    </row>
    <row r="52" spans="1:9" ht="14.25" customHeight="1" x14ac:dyDescent="0.25">
      <c r="A52" s="1" t="s">
        <v>169</v>
      </c>
      <c r="B52" s="1" t="s">
        <v>170</v>
      </c>
      <c r="C52" s="1" t="s">
        <v>171</v>
      </c>
      <c r="D52" s="1" t="s">
        <v>10</v>
      </c>
      <c r="E52" s="1" t="s">
        <v>11</v>
      </c>
      <c r="F52" s="1" t="s">
        <v>32</v>
      </c>
      <c r="G52" s="1" t="s">
        <v>13</v>
      </c>
      <c r="H52" s="3">
        <v>45353</v>
      </c>
      <c r="I52" s="18" t="str">
        <f>TEXT(AttendanceTable[[#This Row],[Registration Date]], "AAAA-MM")</f>
        <v>2024-03</v>
      </c>
    </row>
    <row r="53" spans="1:9" ht="14.25" customHeight="1" x14ac:dyDescent="0.25">
      <c r="A53" s="1" t="s">
        <v>172</v>
      </c>
      <c r="B53" s="1" t="s">
        <v>173</v>
      </c>
      <c r="C53" s="1" t="s">
        <v>174</v>
      </c>
      <c r="D53" s="1" t="s">
        <v>23</v>
      </c>
      <c r="E53" s="1" t="s">
        <v>11</v>
      </c>
      <c r="F53" s="1" t="s">
        <v>28</v>
      </c>
      <c r="G53" s="1" t="s">
        <v>19</v>
      </c>
      <c r="H53" s="3">
        <v>45375</v>
      </c>
      <c r="I53" s="18" t="str">
        <f>TEXT(AttendanceTable[[#This Row],[Registration Date]], "AAAA-MM")</f>
        <v>2024-03</v>
      </c>
    </row>
    <row r="54" spans="1:9" ht="14.25" customHeight="1" x14ac:dyDescent="0.25">
      <c r="A54" s="1" t="s">
        <v>175</v>
      </c>
      <c r="B54" s="1" t="s">
        <v>176</v>
      </c>
      <c r="C54" s="1" t="s">
        <v>177</v>
      </c>
      <c r="D54" s="1" t="s">
        <v>10</v>
      </c>
      <c r="E54" s="1" t="s">
        <v>11</v>
      </c>
      <c r="F54" s="1" t="s">
        <v>12</v>
      </c>
      <c r="G54" s="1" t="s">
        <v>42</v>
      </c>
      <c r="H54" s="3">
        <v>45142</v>
      </c>
      <c r="I54" s="18" t="str">
        <f>TEXT(AttendanceTable[[#This Row],[Registration Date]], "AAAA-MM")</f>
        <v>2023-08</v>
      </c>
    </row>
    <row r="55" spans="1:9" ht="14.25" customHeight="1" x14ac:dyDescent="0.25">
      <c r="A55" s="1" t="s">
        <v>178</v>
      </c>
      <c r="B55" s="1" t="s">
        <v>179</v>
      </c>
      <c r="C55" s="1" t="s">
        <v>180</v>
      </c>
      <c r="D55" s="1" t="s">
        <v>23</v>
      </c>
      <c r="E55" s="1" t="s">
        <v>24</v>
      </c>
      <c r="F55" s="1" t="s">
        <v>18</v>
      </c>
      <c r="G55" s="1" t="s">
        <v>13</v>
      </c>
      <c r="H55" s="3">
        <v>45506</v>
      </c>
      <c r="I55" s="18" t="str">
        <f>TEXT(AttendanceTable[[#This Row],[Registration Date]], "AAAA-MM")</f>
        <v>2024-08</v>
      </c>
    </row>
    <row r="56" spans="1:9" ht="14.25" customHeight="1" x14ac:dyDescent="0.25">
      <c r="A56" s="1" t="s">
        <v>181</v>
      </c>
      <c r="B56" s="1" t="s">
        <v>182</v>
      </c>
      <c r="C56" s="1" t="s">
        <v>183</v>
      </c>
      <c r="D56" s="1" t="s">
        <v>17</v>
      </c>
      <c r="E56" s="1" t="s">
        <v>11</v>
      </c>
      <c r="F56" s="1" t="s">
        <v>32</v>
      </c>
      <c r="G56" s="1" t="s">
        <v>42</v>
      </c>
      <c r="H56" s="3">
        <v>45598</v>
      </c>
      <c r="I56" s="18" t="str">
        <f>TEXT(AttendanceTable[[#This Row],[Registration Date]], "AAAA-MM")</f>
        <v>2024-11</v>
      </c>
    </row>
    <row r="57" spans="1:9" ht="14.25" customHeight="1" x14ac:dyDescent="0.25">
      <c r="A57" s="1" t="s">
        <v>184</v>
      </c>
      <c r="B57" s="1" t="s">
        <v>185</v>
      </c>
      <c r="C57" s="1" t="s">
        <v>186</v>
      </c>
      <c r="D57" s="1" t="s">
        <v>17</v>
      </c>
      <c r="E57" s="1" t="s">
        <v>11</v>
      </c>
      <c r="F57" s="1" t="s">
        <v>32</v>
      </c>
      <c r="G57" s="1" t="s">
        <v>33</v>
      </c>
      <c r="H57" s="3">
        <v>45534</v>
      </c>
      <c r="I57" s="18" t="str">
        <f>TEXT(AttendanceTable[[#This Row],[Registration Date]], "AAAA-MM")</f>
        <v>2024-08</v>
      </c>
    </row>
    <row r="58" spans="1:9" ht="14.25" customHeight="1" x14ac:dyDescent="0.25">
      <c r="A58" s="1" t="s">
        <v>187</v>
      </c>
      <c r="B58" s="1" t="s">
        <v>188</v>
      </c>
      <c r="C58" s="1" t="s">
        <v>189</v>
      </c>
      <c r="D58" s="1" t="s">
        <v>17</v>
      </c>
      <c r="E58" s="1" t="s">
        <v>11</v>
      </c>
      <c r="F58" s="1" t="s">
        <v>28</v>
      </c>
      <c r="G58" s="1" t="s">
        <v>19</v>
      </c>
      <c r="H58" s="3">
        <v>44979</v>
      </c>
      <c r="I58" s="18" t="str">
        <f>TEXT(AttendanceTable[[#This Row],[Registration Date]], "AAAA-MM")</f>
        <v>2023-02</v>
      </c>
    </row>
    <row r="59" spans="1:9" ht="14.25" customHeight="1" x14ac:dyDescent="0.25">
      <c r="A59" s="1" t="s">
        <v>190</v>
      </c>
      <c r="B59" s="1" t="s">
        <v>191</v>
      </c>
      <c r="C59" s="1" t="s">
        <v>192</v>
      </c>
      <c r="D59" s="1" t="s">
        <v>17</v>
      </c>
      <c r="E59" s="1" t="s">
        <v>11</v>
      </c>
      <c r="F59" s="1" t="s">
        <v>28</v>
      </c>
      <c r="G59" s="1" t="s">
        <v>33</v>
      </c>
      <c r="H59" s="3">
        <v>45026</v>
      </c>
      <c r="I59" s="18" t="str">
        <f>TEXT(AttendanceTable[[#This Row],[Registration Date]], "AAAA-MM")</f>
        <v>2023-04</v>
      </c>
    </row>
    <row r="60" spans="1:9" ht="14.25" customHeight="1" x14ac:dyDescent="0.25">
      <c r="A60" s="1" t="s">
        <v>193</v>
      </c>
      <c r="B60" s="1" t="s">
        <v>194</v>
      </c>
      <c r="C60" s="1" t="s">
        <v>195</v>
      </c>
      <c r="D60" s="1" t="s">
        <v>23</v>
      </c>
      <c r="E60" s="1" t="s">
        <v>24</v>
      </c>
      <c r="F60" s="1" t="s">
        <v>28</v>
      </c>
      <c r="G60" s="1" t="s">
        <v>42</v>
      </c>
      <c r="H60" s="3">
        <v>44978</v>
      </c>
      <c r="I60" s="18" t="str">
        <f>TEXT(AttendanceTable[[#This Row],[Registration Date]], "AAAA-MM")</f>
        <v>2023-02</v>
      </c>
    </row>
    <row r="61" spans="1:9" ht="14.25" customHeight="1" x14ac:dyDescent="0.25">
      <c r="A61" s="1" t="s">
        <v>196</v>
      </c>
      <c r="B61" s="1" t="s">
        <v>197</v>
      </c>
      <c r="C61" s="1" t="s">
        <v>198</v>
      </c>
      <c r="D61" s="1" t="s">
        <v>10</v>
      </c>
      <c r="E61" s="1" t="s">
        <v>11</v>
      </c>
      <c r="F61" s="1" t="s">
        <v>28</v>
      </c>
      <c r="G61" s="1" t="s">
        <v>42</v>
      </c>
      <c r="H61" s="3">
        <v>45113</v>
      </c>
      <c r="I61" s="18" t="str">
        <f>TEXT(AttendanceTable[[#This Row],[Registration Date]], "AAAA-MM")</f>
        <v>2023-07</v>
      </c>
    </row>
    <row r="62" spans="1:9" ht="14.25" customHeight="1" x14ac:dyDescent="0.25">
      <c r="A62" s="1" t="s">
        <v>199</v>
      </c>
      <c r="B62" s="1" t="s">
        <v>200</v>
      </c>
      <c r="C62" s="1" t="s">
        <v>201</v>
      </c>
      <c r="D62" s="1" t="s">
        <v>10</v>
      </c>
      <c r="E62" s="1" t="s">
        <v>24</v>
      </c>
      <c r="F62" s="1" t="s">
        <v>18</v>
      </c>
      <c r="G62" s="1" t="s">
        <v>13</v>
      </c>
      <c r="H62" s="3">
        <v>44971</v>
      </c>
      <c r="I62" s="18" t="str">
        <f>TEXT(AttendanceTable[[#This Row],[Registration Date]], "AAAA-MM")</f>
        <v>2023-02</v>
      </c>
    </row>
    <row r="63" spans="1:9" ht="14.25" customHeight="1" x14ac:dyDescent="0.25">
      <c r="A63" s="1" t="s">
        <v>202</v>
      </c>
      <c r="B63" s="1" t="s">
        <v>203</v>
      </c>
      <c r="C63" s="1" t="s">
        <v>204</v>
      </c>
      <c r="D63" s="1" t="s">
        <v>10</v>
      </c>
      <c r="E63" s="1" t="s">
        <v>11</v>
      </c>
      <c r="F63" s="1" t="s">
        <v>28</v>
      </c>
      <c r="G63" s="1" t="s">
        <v>19</v>
      </c>
      <c r="H63" s="3">
        <v>45437</v>
      </c>
      <c r="I63" s="18" t="str">
        <f>TEXT(AttendanceTable[[#This Row],[Registration Date]], "AAAA-MM")</f>
        <v>2024-05</v>
      </c>
    </row>
    <row r="64" spans="1:9" ht="14.25" customHeight="1" x14ac:dyDescent="0.25">
      <c r="A64" s="1" t="s">
        <v>205</v>
      </c>
      <c r="B64" s="1" t="s">
        <v>206</v>
      </c>
      <c r="C64" s="1" t="s">
        <v>207</v>
      </c>
      <c r="D64" s="1" t="s">
        <v>10</v>
      </c>
      <c r="E64" s="1" t="s">
        <v>24</v>
      </c>
      <c r="F64" s="1" t="s">
        <v>12</v>
      </c>
      <c r="G64" s="1" t="s">
        <v>42</v>
      </c>
      <c r="H64" s="3">
        <v>45391</v>
      </c>
      <c r="I64" s="18" t="str">
        <f>TEXT(AttendanceTable[[#This Row],[Registration Date]], "AAAA-MM")</f>
        <v>2024-04</v>
      </c>
    </row>
    <row r="65" spans="1:9" ht="14.25" customHeight="1" x14ac:dyDescent="0.25">
      <c r="A65" s="1" t="s">
        <v>208</v>
      </c>
      <c r="B65" s="1" t="s">
        <v>209</v>
      </c>
      <c r="C65" s="1" t="s">
        <v>210</v>
      </c>
      <c r="D65" s="1" t="s">
        <v>23</v>
      </c>
      <c r="E65" s="1" t="s">
        <v>11</v>
      </c>
      <c r="F65" s="1" t="s">
        <v>12</v>
      </c>
      <c r="G65" s="1" t="s">
        <v>42</v>
      </c>
      <c r="H65" s="3">
        <v>45518</v>
      </c>
      <c r="I65" s="18" t="str">
        <f>TEXT(AttendanceTable[[#This Row],[Registration Date]], "AAAA-MM")</f>
        <v>2024-08</v>
      </c>
    </row>
    <row r="66" spans="1:9" ht="14.25" customHeight="1" x14ac:dyDescent="0.25">
      <c r="A66" s="1" t="s">
        <v>211</v>
      </c>
      <c r="B66" s="1" t="s">
        <v>212</v>
      </c>
      <c r="C66" s="1" t="s">
        <v>213</v>
      </c>
      <c r="D66" s="1" t="s">
        <v>17</v>
      </c>
      <c r="E66" s="1" t="s">
        <v>24</v>
      </c>
      <c r="F66" s="1" t="s">
        <v>28</v>
      </c>
      <c r="G66" s="1" t="s">
        <v>42</v>
      </c>
      <c r="H66" s="3">
        <v>45263</v>
      </c>
      <c r="I66" s="18" t="str">
        <f>TEXT(AttendanceTable[[#This Row],[Registration Date]], "AAAA-MM")</f>
        <v>2023-12</v>
      </c>
    </row>
    <row r="67" spans="1:9" ht="14.25" customHeight="1" x14ac:dyDescent="0.25">
      <c r="A67" s="1" t="s">
        <v>214</v>
      </c>
      <c r="B67" s="1" t="s">
        <v>215</v>
      </c>
      <c r="C67" s="1" t="s">
        <v>216</v>
      </c>
      <c r="D67" s="1" t="s">
        <v>23</v>
      </c>
      <c r="E67" s="1" t="s">
        <v>24</v>
      </c>
      <c r="F67" s="1" t="s">
        <v>18</v>
      </c>
      <c r="G67" s="1" t="s">
        <v>33</v>
      </c>
      <c r="H67" s="3">
        <v>45133</v>
      </c>
      <c r="I67" s="18" t="str">
        <f>TEXT(AttendanceTable[[#This Row],[Registration Date]], "AAAA-MM")</f>
        <v>2023-07</v>
      </c>
    </row>
    <row r="68" spans="1:9" ht="14.25" customHeight="1" x14ac:dyDescent="0.25">
      <c r="A68" s="1" t="s">
        <v>217</v>
      </c>
      <c r="B68" s="1" t="s">
        <v>218</v>
      </c>
      <c r="C68" s="1" t="s">
        <v>219</v>
      </c>
      <c r="D68" s="1" t="s">
        <v>10</v>
      </c>
      <c r="E68" s="1" t="s">
        <v>24</v>
      </c>
      <c r="F68" s="1" t="s">
        <v>28</v>
      </c>
      <c r="G68" s="1" t="s">
        <v>13</v>
      </c>
      <c r="H68" s="3">
        <v>44915</v>
      </c>
      <c r="I68" s="18" t="str">
        <f>TEXT(AttendanceTable[[#This Row],[Registration Date]], "AAAA-MM")</f>
        <v>2022-12</v>
      </c>
    </row>
    <row r="69" spans="1:9" ht="14.25" customHeight="1" x14ac:dyDescent="0.25">
      <c r="A69" s="1" t="s">
        <v>220</v>
      </c>
      <c r="B69" s="1" t="s">
        <v>221</v>
      </c>
      <c r="C69" s="1" t="s">
        <v>222</v>
      </c>
      <c r="D69" s="1" t="s">
        <v>17</v>
      </c>
      <c r="E69" s="1" t="s">
        <v>11</v>
      </c>
      <c r="F69" s="1" t="s">
        <v>32</v>
      </c>
      <c r="G69" s="1" t="s">
        <v>42</v>
      </c>
      <c r="H69" s="3">
        <v>45353</v>
      </c>
      <c r="I69" s="18" t="str">
        <f>TEXT(AttendanceTable[[#This Row],[Registration Date]], "AAAA-MM")</f>
        <v>2024-03</v>
      </c>
    </row>
    <row r="70" spans="1:9" ht="14.25" customHeight="1" x14ac:dyDescent="0.25">
      <c r="A70" s="1" t="s">
        <v>223</v>
      </c>
      <c r="B70" s="1" t="s">
        <v>224</v>
      </c>
      <c r="C70" s="1" t="s">
        <v>225</v>
      </c>
      <c r="D70" s="1" t="s">
        <v>17</v>
      </c>
      <c r="E70" s="1" t="s">
        <v>11</v>
      </c>
      <c r="F70" s="1" t="s">
        <v>32</v>
      </c>
      <c r="G70" s="1" t="s">
        <v>19</v>
      </c>
      <c r="H70" s="3">
        <v>45041</v>
      </c>
      <c r="I70" s="18" t="str">
        <f>TEXT(AttendanceTable[[#This Row],[Registration Date]], "AAAA-MM")</f>
        <v>2023-04</v>
      </c>
    </row>
    <row r="71" spans="1:9" ht="14.25" customHeight="1" x14ac:dyDescent="0.25">
      <c r="A71" s="1" t="s">
        <v>226</v>
      </c>
      <c r="B71" s="1" t="s">
        <v>227</v>
      </c>
      <c r="C71" s="1" t="s">
        <v>228</v>
      </c>
      <c r="D71" s="1" t="s">
        <v>23</v>
      </c>
      <c r="E71" s="1" t="s">
        <v>11</v>
      </c>
      <c r="F71" s="1" t="s">
        <v>28</v>
      </c>
      <c r="G71" s="1" t="s">
        <v>33</v>
      </c>
      <c r="H71" s="3">
        <v>45315</v>
      </c>
      <c r="I71" s="18" t="str">
        <f>TEXT(AttendanceTable[[#This Row],[Registration Date]], "AAAA-MM")</f>
        <v>2024-01</v>
      </c>
    </row>
    <row r="72" spans="1:9" ht="14.25" customHeight="1" x14ac:dyDescent="0.25">
      <c r="A72" s="1" t="s">
        <v>229</v>
      </c>
      <c r="B72" s="1" t="s">
        <v>230</v>
      </c>
      <c r="C72" s="1" t="s">
        <v>231</v>
      </c>
      <c r="D72" s="1" t="s">
        <v>23</v>
      </c>
      <c r="E72" s="1" t="s">
        <v>11</v>
      </c>
      <c r="F72" s="1" t="s">
        <v>18</v>
      </c>
      <c r="G72" s="1" t="s">
        <v>33</v>
      </c>
      <c r="H72" s="3">
        <v>45350</v>
      </c>
      <c r="I72" s="18" t="str">
        <f>TEXT(AttendanceTable[[#This Row],[Registration Date]], "AAAA-MM")</f>
        <v>2024-02</v>
      </c>
    </row>
    <row r="73" spans="1:9" ht="14.25" customHeight="1" x14ac:dyDescent="0.25">
      <c r="A73" s="1" t="s">
        <v>232</v>
      </c>
      <c r="B73" s="1" t="s">
        <v>233</v>
      </c>
      <c r="C73" s="1" t="s">
        <v>234</v>
      </c>
      <c r="D73" s="1" t="s">
        <v>17</v>
      </c>
      <c r="E73" s="1" t="s">
        <v>11</v>
      </c>
      <c r="F73" s="1" t="s">
        <v>28</v>
      </c>
      <c r="G73" s="1" t="s">
        <v>19</v>
      </c>
      <c r="H73" s="3">
        <v>45048</v>
      </c>
      <c r="I73" s="18" t="str">
        <f>TEXT(AttendanceTable[[#This Row],[Registration Date]], "AAAA-MM")</f>
        <v>2023-05</v>
      </c>
    </row>
    <row r="74" spans="1:9" ht="14.25" customHeight="1" x14ac:dyDescent="0.25">
      <c r="A74" s="1" t="s">
        <v>235</v>
      </c>
      <c r="B74" s="1" t="s">
        <v>236</v>
      </c>
      <c r="C74" s="1" t="s">
        <v>237</v>
      </c>
      <c r="D74" s="1" t="s">
        <v>10</v>
      </c>
      <c r="E74" s="1" t="s">
        <v>11</v>
      </c>
      <c r="F74" s="1" t="s">
        <v>18</v>
      </c>
      <c r="G74" s="1" t="s">
        <v>42</v>
      </c>
      <c r="H74" s="3">
        <v>45345</v>
      </c>
      <c r="I74" s="18" t="str">
        <f>TEXT(AttendanceTable[[#This Row],[Registration Date]], "AAAA-MM")</f>
        <v>2024-02</v>
      </c>
    </row>
    <row r="75" spans="1:9" ht="14.25" customHeight="1" x14ac:dyDescent="0.25">
      <c r="A75" s="1" t="s">
        <v>238</v>
      </c>
      <c r="B75" s="1" t="s">
        <v>239</v>
      </c>
      <c r="C75" s="1" t="s">
        <v>240</v>
      </c>
      <c r="D75" s="1" t="s">
        <v>23</v>
      </c>
      <c r="E75" s="1" t="s">
        <v>24</v>
      </c>
      <c r="F75" s="1" t="s">
        <v>12</v>
      </c>
      <c r="G75" s="1" t="s">
        <v>19</v>
      </c>
      <c r="H75" s="3">
        <v>44909</v>
      </c>
      <c r="I75" s="18" t="str">
        <f>TEXT(AttendanceTable[[#This Row],[Registration Date]], "AAAA-MM")</f>
        <v>2022-12</v>
      </c>
    </row>
    <row r="76" spans="1:9" ht="14.25" customHeight="1" x14ac:dyDescent="0.25">
      <c r="A76" s="1" t="s">
        <v>241</v>
      </c>
      <c r="B76" s="1" t="s">
        <v>242</v>
      </c>
      <c r="C76" s="1" t="s">
        <v>243</v>
      </c>
      <c r="D76" s="1" t="s">
        <v>10</v>
      </c>
      <c r="E76" s="1" t="s">
        <v>11</v>
      </c>
      <c r="F76" s="1" t="s">
        <v>12</v>
      </c>
      <c r="G76" s="1" t="s">
        <v>13</v>
      </c>
      <c r="H76" s="3">
        <v>45461</v>
      </c>
      <c r="I76" s="18" t="str">
        <f>TEXT(AttendanceTable[[#This Row],[Registration Date]], "AAAA-MM")</f>
        <v>2024-06</v>
      </c>
    </row>
    <row r="77" spans="1:9" ht="14.25" customHeight="1" x14ac:dyDescent="0.25">
      <c r="A77" s="1" t="s">
        <v>244</v>
      </c>
      <c r="B77" s="1" t="s">
        <v>245</v>
      </c>
      <c r="C77" s="1" t="s">
        <v>246</v>
      </c>
      <c r="D77" s="1" t="s">
        <v>23</v>
      </c>
      <c r="E77" s="1" t="s">
        <v>24</v>
      </c>
      <c r="F77" s="1" t="s">
        <v>28</v>
      </c>
      <c r="G77" s="1" t="s">
        <v>33</v>
      </c>
      <c r="H77" s="3">
        <v>45019</v>
      </c>
      <c r="I77" s="18" t="str">
        <f>TEXT(AttendanceTable[[#This Row],[Registration Date]], "AAAA-MM")</f>
        <v>2023-04</v>
      </c>
    </row>
    <row r="78" spans="1:9" ht="14.25" customHeight="1" x14ac:dyDescent="0.25">
      <c r="A78" s="1" t="s">
        <v>247</v>
      </c>
      <c r="B78" s="1" t="s">
        <v>248</v>
      </c>
      <c r="C78" s="1" t="s">
        <v>249</v>
      </c>
      <c r="D78" s="1" t="s">
        <v>10</v>
      </c>
      <c r="E78" s="1" t="s">
        <v>24</v>
      </c>
      <c r="F78" s="1" t="s">
        <v>18</v>
      </c>
      <c r="G78" s="1" t="s">
        <v>19</v>
      </c>
      <c r="H78" s="3">
        <v>45605</v>
      </c>
      <c r="I78" s="18" t="str">
        <f>TEXT(AttendanceTable[[#This Row],[Registration Date]], "AAAA-MM")</f>
        <v>2024-11</v>
      </c>
    </row>
    <row r="79" spans="1:9" ht="14.25" customHeight="1" x14ac:dyDescent="0.25">
      <c r="A79" s="1" t="s">
        <v>250</v>
      </c>
      <c r="B79" s="1" t="s">
        <v>251</v>
      </c>
      <c r="C79" s="1" t="s">
        <v>252</v>
      </c>
      <c r="D79" s="1" t="s">
        <v>23</v>
      </c>
      <c r="E79" s="1" t="s">
        <v>11</v>
      </c>
      <c r="F79" s="1" t="s">
        <v>28</v>
      </c>
      <c r="G79" s="1" t="s">
        <v>33</v>
      </c>
      <c r="H79" s="3">
        <v>45399</v>
      </c>
      <c r="I79" s="18" t="str">
        <f>TEXT(AttendanceTable[[#This Row],[Registration Date]], "AAAA-MM")</f>
        <v>2024-04</v>
      </c>
    </row>
    <row r="80" spans="1:9" ht="14.25" customHeight="1" x14ac:dyDescent="0.25">
      <c r="A80" s="1" t="s">
        <v>253</v>
      </c>
      <c r="B80" s="1" t="s">
        <v>254</v>
      </c>
      <c r="C80" s="1" t="s">
        <v>255</v>
      </c>
      <c r="D80" s="1" t="s">
        <v>10</v>
      </c>
      <c r="E80" s="1" t="s">
        <v>24</v>
      </c>
      <c r="F80" s="1" t="s">
        <v>32</v>
      </c>
      <c r="G80" s="1" t="s">
        <v>42</v>
      </c>
      <c r="H80" s="3">
        <v>45072</v>
      </c>
      <c r="I80" s="18" t="str">
        <f>TEXT(AttendanceTable[[#This Row],[Registration Date]], "AAAA-MM")</f>
        <v>2023-05</v>
      </c>
    </row>
    <row r="81" spans="1:9" ht="14.25" customHeight="1" x14ac:dyDescent="0.25">
      <c r="A81" s="1" t="s">
        <v>256</v>
      </c>
      <c r="B81" s="1" t="s">
        <v>257</v>
      </c>
      <c r="C81" s="1" t="s">
        <v>258</v>
      </c>
      <c r="D81" s="1" t="s">
        <v>23</v>
      </c>
      <c r="E81" s="1" t="s">
        <v>11</v>
      </c>
      <c r="F81" s="1" t="s">
        <v>28</v>
      </c>
      <c r="G81" s="1" t="s">
        <v>42</v>
      </c>
      <c r="H81" s="3">
        <v>44921</v>
      </c>
      <c r="I81" s="18" t="str">
        <f>TEXT(AttendanceTable[[#This Row],[Registration Date]], "AAAA-MM")</f>
        <v>2022-12</v>
      </c>
    </row>
    <row r="82" spans="1:9" ht="14.25" customHeight="1" x14ac:dyDescent="0.25">
      <c r="A82" s="1" t="s">
        <v>259</v>
      </c>
      <c r="B82" s="1" t="s">
        <v>260</v>
      </c>
      <c r="C82" s="1" t="s">
        <v>261</v>
      </c>
      <c r="D82" s="1" t="s">
        <v>23</v>
      </c>
      <c r="E82" s="1" t="s">
        <v>11</v>
      </c>
      <c r="F82" s="1" t="s">
        <v>32</v>
      </c>
      <c r="G82" s="1" t="s">
        <v>13</v>
      </c>
      <c r="H82" s="3">
        <v>44976</v>
      </c>
      <c r="I82" s="18" t="str">
        <f>TEXT(AttendanceTable[[#This Row],[Registration Date]], "AAAA-MM")</f>
        <v>2023-02</v>
      </c>
    </row>
    <row r="83" spans="1:9" ht="14.25" customHeight="1" x14ac:dyDescent="0.25">
      <c r="A83" s="1" t="s">
        <v>262</v>
      </c>
      <c r="B83" s="1" t="s">
        <v>263</v>
      </c>
      <c r="C83" s="1" t="s">
        <v>264</v>
      </c>
      <c r="D83" s="1" t="s">
        <v>23</v>
      </c>
      <c r="E83" s="1" t="s">
        <v>11</v>
      </c>
      <c r="F83" s="1" t="s">
        <v>28</v>
      </c>
      <c r="G83" s="1" t="s">
        <v>13</v>
      </c>
      <c r="H83" s="3">
        <v>44878</v>
      </c>
      <c r="I83" s="18" t="str">
        <f>TEXT(AttendanceTable[[#This Row],[Registration Date]], "AAAA-MM")</f>
        <v>2022-11</v>
      </c>
    </row>
    <row r="84" spans="1:9" ht="14.25" customHeight="1" x14ac:dyDescent="0.25">
      <c r="A84" s="1" t="s">
        <v>265</v>
      </c>
      <c r="B84" s="1" t="s">
        <v>266</v>
      </c>
      <c r="C84" s="1" t="s">
        <v>267</v>
      </c>
      <c r="D84" s="1" t="s">
        <v>17</v>
      </c>
      <c r="E84" s="1" t="s">
        <v>11</v>
      </c>
      <c r="F84" s="1" t="s">
        <v>32</v>
      </c>
      <c r="G84" s="1" t="s">
        <v>13</v>
      </c>
      <c r="H84" s="3">
        <v>45526</v>
      </c>
      <c r="I84" s="18" t="str">
        <f>TEXT(AttendanceTable[[#This Row],[Registration Date]], "AAAA-MM")</f>
        <v>2024-08</v>
      </c>
    </row>
    <row r="85" spans="1:9" ht="14.25" customHeight="1" x14ac:dyDescent="0.25">
      <c r="A85" s="1" t="s">
        <v>268</v>
      </c>
      <c r="B85" s="1" t="s">
        <v>269</v>
      </c>
      <c r="C85" s="1" t="s">
        <v>270</v>
      </c>
      <c r="D85" s="1" t="s">
        <v>17</v>
      </c>
      <c r="E85" s="1" t="s">
        <v>24</v>
      </c>
      <c r="F85" s="1" t="s">
        <v>32</v>
      </c>
      <c r="G85" s="1" t="s">
        <v>42</v>
      </c>
      <c r="H85" s="3">
        <v>45459</v>
      </c>
      <c r="I85" s="18" t="str">
        <f>TEXT(AttendanceTable[[#This Row],[Registration Date]], "AAAA-MM")</f>
        <v>2024-06</v>
      </c>
    </row>
    <row r="86" spans="1:9" ht="14.25" customHeight="1" x14ac:dyDescent="0.25">
      <c r="A86" s="1" t="s">
        <v>271</v>
      </c>
      <c r="B86" s="1" t="s">
        <v>272</v>
      </c>
      <c r="C86" s="1" t="s">
        <v>273</v>
      </c>
      <c r="D86" s="1" t="s">
        <v>10</v>
      </c>
      <c r="E86" s="1" t="s">
        <v>11</v>
      </c>
      <c r="F86" s="1" t="s">
        <v>32</v>
      </c>
      <c r="G86" s="1" t="s">
        <v>33</v>
      </c>
      <c r="H86" s="3">
        <v>45588</v>
      </c>
      <c r="I86" s="18" t="str">
        <f>TEXT(AttendanceTable[[#This Row],[Registration Date]], "AAAA-MM")</f>
        <v>2024-10</v>
      </c>
    </row>
    <row r="87" spans="1:9" ht="14.25" customHeight="1" x14ac:dyDescent="0.25">
      <c r="A87" s="1" t="s">
        <v>274</v>
      </c>
      <c r="B87" s="1" t="s">
        <v>275</v>
      </c>
      <c r="C87" s="1" t="s">
        <v>276</v>
      </c>
      <c r="D87" s="1" t="s">
        <v>17</v>
      </c>
      <c r="E87" s="1" t="s">
        <v>24</v>
      </c>
      <c r="F87" s="1" t="s">
        <v>12</v>
      </c>
      <c r="G87" s="1" t="s">
        <v>42</v>
      </c>
      <c r="H87" s="3">
        <v>45581</v>
      </c>
      <c r="I87" s="18" t="str">
        <f>TEXT(AttendanceTable[[#This Row],[Registration Date]], "AAAA-MM")</f>
        <v>2024-10</v>
      </c>
    </row>
    <row r="88" spans="1:9" ht="14.25" customHeight="1" x14ac:dyDescent="0.25">
      <c r="A88" s="1" t="s">
        <v>277</v>
      </c>
      <c r="B88" s="1" t="s">
        <v>278</v>
      </c>
      <c r="C88" s="1" t="s">
        <v>279</v>
      </c>
      <c r="D88" s="1" t="s">
        <v>17</v>
      </c>
      <c r="E88" s="1" t="s">
        <v>11</v>
      </c>
      <c r="F88" s="1" t="s">
        <v>28</v>
      </c>
      <c r="G88" s="1" t="s">
        <v>42</v>
      </c>
      <c r="H88" s="3">
        <v>45028</v>
      </c>
      <c r="I88" s="18" t="str">
        <f>TEXT(AttendanceTable[[#This Row],[Registration Date]], "AAAA-MM")</f>
        <v>2023-04</v>
      </c>
    </row>
    <row r="89" spans="1:9" ht="14.25" customHeight="1" x14ac:dyDescent="0.25">
      <c r="A89" s="1" t="s">
        <v>280</v>
      </c>
      <c r="B89" s="1" t="s">
        <v>281</v>
      </c>
      <c r="C89" s="1" t="s">
        <v>282</v>
      </c>
      <c r="D89" s="1" t="s">
        <v>23</v>
      </c>
      <c r="E89" s="1" t="s">
        <v>11</v>
      </c>
      <c r="F89" s="1" t="s">
        <v>12</v>
      </c>
      <c r="G89" s="1" t="s">
        <v>19</v>
      </c>
      <c r="H89" s="3">
        <v>45178</v>
      </c>
      <c r="I89" s="18" t="str">
        <f>TEXT(AttendanceTable[[#This Row],[Registration Date]], "AAAA-MM")</f>
        <v>2023-09</v>
      </c>
    </row>
    <row r="90" spans="1:9" ht="14.25" customHeight="1" x14ac:dyDescent="0.25">
      <c r="A90" s="1" t="s">
        <v>283</v>
      </c>
      <c r="B90" s="1" t="s">
        <v>284</v>
      </c>
      <c r="C90" s="1" t="s">
        <v>285</v>
      </c>
      <c r="D90" s="1" t="s">
        <v>23</v>
      </c>
      <c r="E90" s="1" t="s">
        <v>11</v>
      </c>
      <c r="F90" s="1" t="s">
        <v>28</v>
      </c>
      <c r="G90" s="1" t="s">
        <v>13</v>
      </c>
      <c r="H90" s="3">
        <v>45471</v>
      </c>
      <c r="I90" s="18" t="str">
        <f>TEXT(AttendanceTable[[#This Row],[Registration Date]], "AAAA-MM")</f>
        <v>2024-06</v>
      </c>
    </row>
    <row r="91" spans="1:9" ht="14.25" customHeight="1" x14ac:dyDescent="0.25">
      <c r="A91" s="1" t="s">
        <v>286</v>
      </c>
      <c r="B91" s="1" t="s">
        <v>287</v>
      </c>
      <c r="C91" s="1" t="s">
        <v>288</v>
      </c>
      <c r="D91" s="1" t="s">
        <v>17</v>
      </c>
      <c r="E91" s="1" t="s">
        <v>24</v>
      </c>
      <c r="F91" s="1" t="s">
        <v>12</v>
      </c>
      <c r="G91" s="1" t="s">
        <v>13</v>
      </c>
      <c r="H91" s="3">
        <v>44943</v>
      </c>
      <c r="I91" s="18" t="str">
        <f>TEXT(AttendanceTable[[#This Row],[Registration Date]], "AAAA-MM")</f>
        <v>2023-01</v>
      </c>
    </row>
    <row r="92" spans="1:9" ht="14.25" customHeight="1" x14ac:dyDescent="0.25">
      <c r="A92" s="1" t="s">
        <v>289</v>
      </c>
      <c r="B92" s="1" t="s">
        <v>290</v>
      </c>
      <c r="C92" s="1" t="s">
        <v>291</v>
      </c>
      <c r="D92" s="1" t="s">
        <v>17</v>
      </c>
      <c r="E92" s="1" t="s">
        <v>11</v>
      </c>
      <c r="F92" s="1" t="s">
        <v>12</v>
      </c>
      <c r="G92" s="1" t="s">
        <v>42</v>
      </c>
      <c r="H92" s="3">
        <v>45233</v>
      </c>
      <c r="I92" s="18" t="str">
        <f>TEXT(AttendanceTable[[#This Row],[Registration Date]], "AAAA-MM")</f>
        <v>2023-11</v>
      </c>
    </row>
    <row r="93" spans="1:9" ht="14.25" customHeight="1" x14ac:dyDescent="0.25">
      <c r="A93" s="1" t="s">
        <v>292</v>
      </c>
      <c r="B93" s="1" t="s">
        <v>293</v>
      </c>
      <c r="C93" s="1" t="s">
        <v>294</v>
      </c>
      <c r="D93" s="1" t="s">
        <v>10</v>
      </c>
      <c r="E93" s="1" t="s">
        <v>11</v>
      </c>
      <c r="F93" s="1" t="s">
        <v>28</v>
      </c>
      <c r="G93" s="1" t="s">
        <v>33</v>
      </c>
      <c r="H93" s="3">
        <v>45224</v>
      </c>
      <c r="I93" s="18" t="str">
        <f>TEXT(AttendanceTable[[#This Row],[Registration Date]], "AAAA-MM")</f>
        <v>2023-10</v>
      </c>
    </row>
    <row r="94" spans="1:9" ht="14.25" customHeight="1" x14ac:dyDescent="0.25">
      <c r="A94" s="1" t="s">
        <v>295</v>
      </c>
      <c r="B94" s="1" t="s">
        <v>296</v>
      </c>
      <c r="C94" s="1" t="s">
        <v>297</v>
      </c>
      <c r="D94" s="1" t="s">
        <v>10</v>
      </c>
      <c r="E94" s="1" t="s">
        <v>11</v>
      </c>
      <c r="F94" s="1" t="s">
        <v>18</v>
      </c>
      <c r="G94" s="1" t="s">
        <v>33</v>
      </c>
      <c r="H94" s="3">
        <v>45571</v>
      </c>
      <c r="I94" s="18" t="str">
        <f>TEXT(AttendanceTable[[#This Row],[Registration Date]], "AAAA-MM")</f>
        <v>2024-10</v>
      </c>
    </row>
    <row r="95" spans="1:9" ht="14.25" customHeight="1" x14ac:dyDescent="0.25">
      <c r="A95" s="1" t="s">
        <v>298</v>
      </c>
      <c r="B95" s="1" t="s">
        <v>299</v>
      </c>
      <c r="C95" s="1" t="s">
        <v>300</v>
      </c>
      <c r="D95" s="1" t="s">
        <v>17</v>
      </c>
      <c r="E95" s="1" t="s">
        <v>11</v>
      </c>
      <c r="F95" s="1" t="s">
        <v>12</v>
      </c>
      <c r="G95" s="1" t="s">
        <v>19</v>
      </c>
      <c r="H95" s="3">
        <v>45350</v>
      </c>
      <c r="I95" s="18" t="str">
        <f>TEXT(AttendanceTable[[#This Row],[Registration Date]], "AAAA-MM")</f>
        <v>2024-02</v>
      </c>
    </row>
    <row r="96" spans="1:9" ht="14.25" customHeight="1" x14ac:dyDescent="0.25">
      <c r="A96" s="1" t="s">
        <v>301</v>
      </c>
      <c r="B96" s="1" t="s">
        <v>302</v>
      </c>
      <c r="C96" s="1" t="s">
        <v>303</v>
      </c>
      <c r="D96" s="1" t="s">
        <v>17</v>
      </c>
      <c r="E96" s="1" t="s">
        <v>24</v>
      </c>
      <c r="F96" s="1" t="s">
        <v>18</v>
      </c>
      <c r="G96" s="1" t="s">
        <v>42</v>
      </c>
      <c r="H96" s="3">
        <v>45562</v>
      </c>
      <c r="I96" s="18" t="str">
        <f>TEXT(AttendanceTable[[#This Row],[Registration Date]], "AAAA-MM")</f>
        <v>2024-09</v>
      </c>
    </row>
    <row r="97" spans="1:9" ht="14.25" customHeight="1" x14ac:dyDescent="0.25">
      <c r="A97" s="1" t="s">
        <v>304</v>
      </c>
      <c r="B97" s="1" t="s">
        <v>305</v>
      </c>
      <c r="C97" s="1" t="s">
        <v>306</v>
      </c>
      <c r="D97" s="1" t="s">
        <v>23</v>
      </c>
      <c r="E97" s="1" t="s">
        <v>11</v>
      </c>
      <c r="F97" s="1" t="s">
        <v>12</v>
      </c>
      <c r="G97" s="1" t="s">
        <v>42</v>
      </c>
      <c r="H97" s="3">
        <v>45138</v>
      </c>
      <c r="I97" s="18" t="str">
        <f>TEXT(AttendanceTable[[#This Row],[Registration Date]], "AAAA-MM")</f>
        <v>2023-07</v>
      </c>
    </row>
    <row r="98" spans="1:9" ht="14.25" customHeight="1" x14ac:dyDescent="0.25">
      <c r="A98" s="1" t="s">
        <v>307</v>
      </c>
      <c r="B98" s="1" t="s">
        <v>308</v>
      </c>
      <c r="C98" s="1" t="s">
        <v>309</v>
      </c>
      <c r="D98" s="1" t="s">
        <v>10</v>
      </c>
      <c r="E98" s="1" t="s">
        <v>24</v>
      </c>
      <c r="F98" s="1" t="s">
        <v>28</v>
      </c>
      <c r="G98" s="1" t="s">
        <v>19</v>
      </c>
      <c r="H98" s="3">
        <v>45101</v>
      </c>
      <c r="I98" s="18" t="str">
        <f>TEXT(AttendanceTable[[#This Row],[Registration Date]], "AAAA-MM")</f>
        <v>2023-06</v>
      </c>
    </row>
    <row r="99" spans="1:9" ht="14.25" customHeight="1" x14ac:dyDescent="0.25">
      <c r="A99" s="1" t="s">
        <v>310</v>
      </c>
      <c r="B99" s="1" t="s">
        <v>311</v>
      </c>
      <c r="C99" s="1" t="s">
        <v>312</v>
      </c>
      <c r="D99" s="1" t="s">
        <v>10</v>
      </c>
      <c r="E99" s="1" t="s">
        <v>11</v>
      </c>
      <c r="F99" s="1" t="s">
        <v>18</v>
      </c>
      <c r="G99" s="1" t="s">
        <v>13</v>
      </c>
      <c r="H99" s="3">
        <v>45180</v>
      </c>
      <c r="I99" s="18" t="str">
        <f>TEXT(AttendanceTable[[#This Row],[Registration Date]], "AAAA-MM")</f>
        <v>2023-09</v>
      </c>
    </row>
    <row r="100" spans="1:9" ht="14.25" customHeight="1" x14ac:dyDescent="0.25">
      <c r="A100" s="1" t="s">
        <v>313</v>
      </c>
      <c r="B100" s="1" t="s">
        <v>314</v>
      </c>
      <c r="C100" s="1" t="s">
        <v>315</v>
      </c>
      <c r="D100" s="1" t="s">
        <v>23</v>
      </c>
      <c r="E100" s="1" t="s">
        <v>11</v>
      </c>
      <c r="F100" s="1" t="s">
        <v>12</v>
      </c>
      <c r="G100" s="1" t="s">
        <v>13</v>
      </c>
      <c r="H100" s="3">
        <v>45333</v>
      </c>
      <c r="I100" s="18" t="str">
        <f>TEXT(AttendanceTable[[#This Row],[Registration Date]], "AAAA-MM")</f>
        <v>2024-02</v>
      </c>
    </row>
    <row r="101" spans="1:9" ht="14.25" customHeight="1" x14ac:dyDescent="0.25">
      <c r="A101" s="1" t="s">
        <v>316</v>
      </c>
      <c r="B101" s="1" t="s">
        <v>317</v>
      </c>
      <c r="C101" s="1" t="s">
        <v>318</v>
      </c>
      <c r="D101" s="1" t="s">
        <v>17</v>
      </c>
      <c r="E101" s="1" t="s">
        <v>11</v>
      </c>
      <c r="F101" s="1" t="s">
        <v>12</v>
      </c>
      <c r="G101" s="1" t="s">
        <v>13</v>
      </c>
      <c r="H101" s="3">
        <v>45425</v>
      </c>
      <c r="I101" s="18" t="str">
        <f>TEXT(AttendanceTable[[#This Row],[Registration Date]], "AAAA-MM")</f>
        <v>2024-05</v>
      </c>
    </row>
    <row r="102" spans="1:9" ht="14.25" customHeight="1" x14ac:dyDescent="0.25"/>
    <row r="103" spans="1:9" ht="14.25" customHeight="1" x14ac:dyDescent="0.25"/>
    <row r="104" spans="1:9" ht="14.25" customHeight="1" x14ac:dyDescent="0.25"/>
    <row r="105" spans="1:9" ht="14.25" customHeight="1" x14ac:dyDescent="0.25"/>
    <row r="106" spans="1:9" ht="14.25" customHeight="1" x14ac:dyDescent="0.25"/>
    <row r="107" spans="1:9" ht="14.25" customHeight="1" x14ac:dyDescent="0.25"/>
    <row r="108" spans="1:9" ht="14.25" customHeight="1" x14ac:dyDescent="0.25"/>
    <row r="109" spans="1:9" ht="14.25" customHeight="1" x14ac:dyDescent="0.25"/>
    <row r="110" spans="1:9" ht="14.25" customHeight="1" x14ac:dyDescent="0.25"/>
    <row r="111" spans="1:9" ht="14.25" customHeight="1" x14ac:dyDescent="0.25"/>
    <row r="112" spans="1:9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MyForm">
                <anchor moveWithCells="1" sizeWithCells="1">
                  <from>
                    <xdr:col>9</xdr:col>
                    <xdr:colOff>371475</xdr:colOff>
                    <xdr:row>0</xdr:row>
                    <xdr:rowOff>171450</xdr:rowOff>
                  </from>
                  <to>
                    <xdr:col>13</xdr:col>
                    <xdr:colOff>257175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FDFB8-341A-4CEA-AED7-0EBEB7D6E3C2}">
  <sheetPr codeName="Hoja3"/>
  <dimension ref="A1:I34"/>
  <sheetViews>
    <sheetView workbookViewId="0">
      <selection activeCell="M29" sqref="M29"/>
    </sheetView>
  </sheetViews>
  <sheetFormatPr baseColWidth="10" defaultRowHeight="15" x14ac:dyDescent="0.25"/>
  <cols>
    <col min="1" max="1" width="20.85546875" customWidth="1"/>
    <col min="2" max="2" width="15.28515625" customWidth="1"/>
    <col min="3" max="3" width="14.28515625" hidden="1" customWidth="1"/>
    <col min="4" max="4" width="9" customWidth="1"/>
    <col min="5" max="5" width="12.85546875" customWidth="1"/>
    <col min="6" max="6" width="12.7109375" customWidth="1"/>
    <col min="7" max="7" width="13.5703125" customWidth="1"/>
    <col min="8" max="8" width="17.5703125" hidden="1" customWidth="1"/>
    <col min="9" max="9" width="15.5703125" hidden="1" customWidth="1"/>
    <col min="12" max="12" width="11.85546875" bestFit="1" customWidth="1"/>
    <col min="17" max="17" width="11.85546875" bestFit="1" customWidth="1"/>
  </cols>
  <sheetData>
    <row r="1" spans="1:9" x14ac:dyDescent="0.25">
      <c r="A1" s="4" t="s">
        <v>339</v>
      </c>
      <c r="B1" t="s">
        <v>330</v>
      </c>
      <c r="E1" s="25" t="s">
        <v>367</v>
      </c>
      <c r="F1" s="25" t="s">
        <v>365</v>
      </c>
      <c r="G1" s="25" t="s">
        <v>366</v>
      </c>
      <c r="H1" s="25" t="s">
        <v>369</v>
      </c>
      <c r="I1" s="25" t="s">
        <v>370</v>
      </c>
    </row>
    <row r="2" spans="1:9" x14ac:dyDescent="0.25">
      <c r="A2" s="11" t="s">
        <v>340</v>
      </c>
      <c r="B2">
        <v>1</v>
      </c>
      <c r="E2" s="27" t="s">
        <v>368</v>
      </c>
      <c r="F2" s="23">
        <f t="shared" ref="F2:F26" si="0">DATE(LEFT(A2, 4), RIGHT(A2, 2), 1)</f>
        <v>44866</v>
      </c>
      <c r="G2" s="24">
        <v>1</v>
      </c>
      <c r="H2" s="9">
        <f>IF(Forecast[[#This Row],[Date]]&lt;=DATE(2024,12,1), Forecast[[#This Row],[Attendance / Prediction]], #N/A)</f>
        <v>1</v>
      </c>
      <c r="I2" s="9" t="e">
        <f>IF(Forecast[[#This Row],[Date]]&gt;=DATE(2024,12,1), Forecast[[#This Row],[Attendance / Prediction]], #N/A)</f>
        <v>#N/A</v>
      </c>
    </row>
    <row r="3" spans="1:9" x14ac:dyDescent="0.25">
      <c r="A3" s="11" t="s">
        <v>341</v>
      </c>
      <c r="B3">
        <v>4</v>
      </c>
      <c r="E3" s="27" t="s">
        <v>368</v>
      </c>
      <c r="F3" s="23">
        <f t="shared" si="0"/>
        <v>44896</v>
      </c>
      <c r="G3" s="24">
        <v>4</v>
      </c>
      <c r="H3" s="9">
        <f>IF(Forecast[[#This Row],[Date]]&lt;=DATE(2024,12,1), Forecast[[#This Row],[Attendance / Prediction]], #N/A)</f>
        <v>4</v>
      </c>
      <c r="I3" s="9" t="e">
        <f>IF(Forecast[[#This Row],[Date]]&gt;=DATE(2024,12,1), Forecast[[#This Row],[Attendance / Prediction]], #N/A)</f>
        <v>#N/A</v>
      </c>
    </row>
    <row r="4" spans="1:9" x14ac:dyDescent="0.25">
      <c r="A4" s="11" t="s">
        <v>342</v>
      </c>
      <c r="B4">
        <v>3</v>
      </c>
      <c r="D4" s="8"/>
      <c r="E4" s="27" t="s">
        <v>368</v>
      </c>
      <c r="F4" s="23">
        <f t="shared" si="0"/>
        <v>44927</v>
      </c>
      <c r="G4" s="24">
        <v>3</v>
      </c>
      <c r="H4" s="9">
        <f>IF(Forecast[[#This Row],[Date]]&lt;=DATE(2024,12,1), Forecast[[#This Row],[Attendance / Prediction]], #N/A)</f>
        <v>3</v>
      </c>
      <c r="I4" s="9" t="e">
        <f>IF(Forecast[[#This Row],[Date]]&gt;=DATE(2024,12,1), Forecast[[#This Row],[Attendance / Prediction]], #N/A)</f>
        <v>#N/A</v>
      </c>
    </row>
    <row r="5" spans="1:9" x14ac:dyDescent="0.25">
      <c r="A5" s="11" t="s">
        <v>343</v>
      </c>
      <c r="B5">
        <v>8</v>
      </c>
      <c r="D5" s="8"/>
      <c r="E5" s="27" t="s">
        <v>368</v>
      </c>
      <c r="F5" s="23">
        <f t="shared" si="0"/>
        <v>44958</v>
      </c>
      <c r="G5" s="24">
        <v>8</v>
      </c>
      <c r="H5" s="9">
        <f>IF(Forecast[[#This Row],[Date]]&lt;=DATE(2024,12,1), Forecast[[#This Row],[Attendance / Prediction]], #N/A)</f>
        <v>8</v>
      </c>
      <c r="I5" s="9" t="e">
        <f>IF(Forecast[[#This Row],[Date]]&gt;=DATE(2024,12,1), Forecast[[#This Row],[Attendance / Prediction]], #N/A)</f>
        <v>#N/A</v>
      </c>
    </row>
    <row r="6" spans="1:9" x14ac:dyDescent="0.25">
      <c r="A6" s="11" t="s">
        <v>344</v>
      </c>
      <c r="B6">
        <v>1</v>
      </c>
      <c r="E6" s="27" t="s">
        <v>368</v>
      </c>
      <c r="F6" s="23">
        <f t="shared" si="0"/>
        <v>44986</v>
      </c>
      <c r="G6" s="24">
        <v>1</v>
      </c>
      <c r="H6" s="9">
        <f>IF(Forecast[[#This Row],[Date]]&lt;=DATE(2024,12,1), Forecast[[#This Row],[Attendance / Prediction]], #N/A)</f>
        <v>1</v>
      </c>
      <c r="I6" s="9" t="e">
        <f>IF(Forecast[[#This Row],[Date]]&gt;=DATE(2024,12,1), Forecast[[#This Row],[Attendance / Prediction]], #N/A)</f>
        <v>#N/A</v>
      </c>
    </row>
    <row r="7" spans="1:9" x14ac:dyDescent="0.25">
      <c r="A7" s="11" t="s">
        <v>345</v>
      </c>
      <c r="B7">
        <v>6</v>
      </c>
      <c r="E7" s="27" t="s">
        <v>368</v>
      </c>
      <c r="F7" s="23">
        <f t="shared" si="0"/>
        <v>45017</v>
      </c>
      <c r="G7" s="24">
        <v>6</v>
      </c>
      <c r="H7" s="9">
        <f>IF(Forecast[[#This Row],[Date]]&lt;=DATE(2024,12,1), Forecast[[#This Row],[Attendance / Prediction]], #N/A)</f>
        <v>6</v>
      </c>
      <c r="I7" s="9" t="e">
        <f>IF(Forecast[[#This Row],[Date]]&gt;=DATE(2024,12,1), Forecast[[#This Row],[Attendance / Prediction]], #N/A)</f>
        <v>#N/A</v>
      </c>
    </row>
    <row r="8" spans="1:9" x14ac:dyDescent="0.25">
      <c r="A8" s="11" t="s">
        <v>346</v>
      </c>
      <c r="B8">
        <v>3</v>
      </c>
      <c r="C8" s="20" t="s">
        <v>365</v>
      </c>
      <c r="E8" s="27" t="s">
        <v>368</v>
      </c>
      <c r="F8" s="23">
        <f t="shared" si="0"/>
        <v>45047</v>
      </c>
      <c r="G8" s="24">
        <v>3</v>
      </c>
      <c r="H8" s="9">
        <f>IF(Forecast[[#This Row],[Date]]&lt;=DATE(2024,12,1), Forecast[[#This Row],[Attendance / Prediction]], #N/A)</f>
        <v>3</v>
      </c>
      <c r="I8" s="9" t="e">
        <f>IF(Forecast[[#This Row],[Date]]&gt;=DATE(2024,12,1), Forecast[[#This Row],[Attendance / Prediction]], #N/A)</f>
        <v>#N/A</v>
      </c>
    </row>
    <row r="9" spans="1:9" x14ac:dyDescent="0.25">
      <c r="A9" s="11" t="s">
        <v>347</v>
      </c>
      <c r="B9">
        <v>2</v>
      </c>
      <c r="C9" s="17">
        <f>DATE(LEFT($A$2, 4), RIGHT($A$2, 2), 1)</f>
        <v>44866</v>
      </c>
      <c r="E9" s="27" t="s">
        <v>368</v>
      </c>
      <c r="F9" s="23">
        <f t="shared" si="0"/>
        <v>45078</v>
      </c>
      <c r="G9" s="24">
        <v>2</v>
      </c>
      <c r="H9" s="9">
        <f>IF(Forecast[[#This Row],[Date]]&lt;=DATE(2024,12,1), Forecast[[#This Row],[Attendance / Prediction]], #N/A)</f>
        <v>2</v>
      </c>
      <c r="I9" s="9" t="e">
        <f>IF(Forecast[[#This Row],[Date]]&gt;=DATE(2024,12,1), Forecast[[#This Row],[Attendance / Prediction]], #N/A)</f>
        <v>#N/A</v>
      </c>
    </row>
    <row r="10" spans="1:9" x14ac:dyDescent="0.25">
      <c r="A10" s="11" t="s">
        <v>348</v>
      </c>
      <c r="B10">
        <v>5</v>
      </c>
      <c r="C10" s="17">
        <f t="shared" ref="C10:C33" si="1">DATE(LEFT(A3, 4), RIGHT(A3, 2), 1)</f>
        <v>44896</v>
      </c>
      <c r="E10" s="27" t="s">
        <v>368</v>
      </c>
      <c r="F10" s="23">
        <f t="shared" si="0"/>
        <v>45108</v>
      </c>
      <c r="G10" s="24">
        <v>5</v>
      </c>
      <c r="H10" s="9">
        <f>IF(Forecast[[#This Row],[Date]]&lt;=DATE(2024,12,1), Forecast[[#This Row],[Attendance / Prediction]], #N/A)</f>
        <v>5</v>
      </c>
      <c r="I10" s="9" t="e">
        <f>IF(Forecast[[#This Row],[Date]]&gt;=DATE(2024,12,1), Forecast[[#This Row],[Attendance / Prediction]], #N/A)</f>
        <v>#N/A</v>
      </c>
    </row>
    <row r="11" spans="1:9" x14ac:dyDescent="0.25">
      <c r="A11" s="11" t="s">
        <v>349</v>
      </c>
      <c r="B11">
        <v>3</v>
      </c>
      <c r="C11" s="17">
        <f t="shared" si="1"/>
        <v>44927</v>
      </c>
      <c r="E11" s="27" t="s">
        <v>368</v>
      </c>
      <c r="F11" s="23">
        <f t="shared" si="0"/>
        <v>45139</v>
      </c>
      <c r="G11" s="24">
        <v>3</v>
      </c>
      <c r="H11" s="9">
        <f>IF(Forecast[[#This Row],[Date]]&lt;=DATE(2024,12,1), Forecast[[#This Row],[Attendance / Prediction]], #N/A)</f>
        <v>3</v>
      </c>
      <c r="I11" s="9" t="e">
        <f>IF(Forecast[[#This Row],[Date]]&gt;=DATE(2024,12,1), Forecast[[#This Row],[Attendance / Prediction]], #N/A)</f>
        <v>#N/A</v>
      </c>
    </row>
    <row r="12" spans="1:9" x14ac:dyDescent="0.25">
      <c r="A12" s="11" t="s">
        <v>350</v>
      </c>
      <c r="B12">
        <v>3</v>
      </c>
      <c r="C12" s="17">
        <f t="shared" si="1"/>
        <v>44958</v>
      </c>
      <c r="E12" s="27" t="s">
        <v>368</v>
      </c>
      <c r="F12" s="23">
        <f t="shared" si="0"/>
        <v>45170</v>
      </c>
      <c r="G12" s="24">
        <v>3</v>
      </c>
      <c r="H12" s="9">
        <f>IF(Forecast[[#This Row],[Date]]&lt;=DATE(2024,12,1), Forecast[[#This Row],[Attendance / Prediction]], #N/A)</f>
        <v>3</v>
      </c>
      <c r="I12" s="9" t="e">
        <f>IF(Forecast[[#This Row],[Date]]&gt;=DATE(2024,12,1), Forecast[[#This Row],[Attendance / Prediction]], #N/A)</f>
        <v>#N/A</v>
      </c>
    </row>
    <row r="13" spans="1:9" x14ac:dyDescent="0.25">
      <c r="A13" s="11" t="s">
        <v>351</v>
      </c>
      <c r="B13">
        <v>4</v>
      </c>
      <c r="C13" s="17">
        <f t="shared" si="1"/>
        <v>44986</v>
      </c>
      <c r="E13" s="27" t="s">
        <v>368</v>
      </c>
      <c r="F13" s="23">
        <f t="shared" si="0"/>
        <v>45200</v>
      </c>
      <c r="G13" s="24">
        <v>4</v>
      </c>
      <c r="H13" s="9">
        <f>IF(Forecast[[#This Row],[Date]]&lt;=DATE(2024,12,1), Forecast[[#This Row],[Attendance / Prediction]], #N/A)</f>
        <v>4</v>
      </c>
      <c r="I13" s="9" t="e">
        <f>IF(Forecast[[#This Row],[Date]]&gt;=DATE(2024,12,1), Forecast[[#This Row],[Attendance / Prediction]], #N/A)</f>
        <v>#N/A</v>
      </c>
    </row>
    <row r="14" spans="1:9" x14ac:dyDescent="0.25">
      <c r="A14" s="11" t="s">
        <v>352</v>
      </c>
      <c r="B14">
        <v>2</v>
      </c>
      <c r="C14" s="17">
        <f t="shared" si="1"/>
        <v>45017</v>
      </c>
      <c r="E14" s="27" t="s">
        <v>368</v>
      </c>
      <c r="F14" s="23">
        <f t="shared" si="0"/>
        <v>45231</v>
      </c>
      <c r="G14" s="24">
        <v>2</v>
      </c>
      <c r="H14" s="9">
        <f>IF(Forecast[[#This Row],[Date]]&lt;=DATE(2024,12,1), Forecast[[#This Row],[Attendance / Prediction]], #N/A)</f>
        <v>2</v>
      </c>
      <c r="I14" s="9" t="e">
        <f>IF(Forecast[[#This Row],[Date]]&gt;=DATE(2024,12,1), Forecast[[#This Row],[Attendance / Prediction]], #N/A)</f>
        <v>#N/A</v>
      </c>
    </row>
    <row r="15" spans="1:9" x14ac:dyDescent="0.25">
      <c r="A15" s="11" t="s">
        <v>353</v>
      </c>
      <c r="B15">
        <v>2</v>
      </c>
      <c r="C15" s="17">
        <f t="shared" si="1"/>
        <v>45047</v>
      </c>
      <c r="E15" s="27" t="s">
        <v>368</v>
      </c>
      <c r="F15" s="23">
        <f t="shared" si="0"/>
        <v>45261</v>
      </c>
      <c r="G15" s="24">
        <v>2</v>
      </c>
      <c r="H15" s="9">
        <f>IF(Forecast[[#This Row],[Date]]&lt;=DATE(2024,12,1), Forecast[[#This Row],[Attendance / Prediction]], #N/A)</f>
        <v>2</v>
      </c>
      <c r="I15" s="9" t="e">
        <f>IF(Forecast[[#This Row],[Date]]&gt;=DATE(2024,12,1), Forecast[[#This Row],[Attendance / Prediction]], #N/A)</f>
        <v>#N/A</v>
      </c>
    </row>
    <row r="16" spans="1:9" x14ac:dyDescent="0.25">
      <c r="A16" s="11" t="s">
        <v>354</v>
      </c>
      <c r="B16">
        <v>7</v>
      </c>
      <c r="C16" s="17">
        <f t="shared" si="1"/>
        <v>45078</v>
      </c>
      <c r="E16" s="27" t="s">
        <v>368</v>
      </c>
      <c r="F16" s="23">
        <f t="shared" si="0"/>
        <v>45292</v>
      </c>
      <c r="G16" s="24">
        <v>7</v>
      </c>
      <c r="H16" s="9">
        <f>IF(Forecast[[#This Row],[Date]]&lt;=DATE(2024,12,1), Forecast[[#This Row],[Attendance / Prediction]], #N/A)</f>
        <v>7</v>
      </c>
      <c r="I16" s="9" t="e">
        <f>IF(Forecast[[#This Row],[Date]]&gt;=DATE(2024,12,1), Forecast[[#This Row],[Attendance / Prediction]], #N/A)</f>
        <v>#N/A</v>
      </c>
    </row>
    <row r="17" spans="1:9" x14ac:dyDescent="0.25">
      <c r="A17" s="11" t="s">
        <v>355</v>
      </c>
      <c r="B17">
        <v>9</v>
      </c>
      <c r="C17" s="17">
        <f t="shared" si="1"/>
        <v>45108</v>
      </c>
      <c r="E17" s="27" t="s">
        <v>368</v>
      </c>
      <c r="F17" s="23">
        <f t="shared" si="0"/>
        <v>45323</v>
      </c>
      <c r="G17" s="24">
        <v>9</v>
      </c>
      <c r="H17" s="9">
        <f>IF(Forecast[[#This Row],[Date]]&lt;=DATE(2024,12,1), Forecast[[#This Row],[Attendance / Prediction]], #N/A)</f>
        <v>9</v>
      </c>
      <c r="I17" s="9" t="e">
        <f>IF(Forecast[[#This Row],[Date]]&gt;=DATE(2024,12,1), Forecast[[#This Row],[Attendance / Prediction]], #N/A)</f>
        <v>#N/A</v>
      </c>
    </row>
    <row r="18" spans="1:9" x14ac:dyDescent="0.25">
      <c r="A18" s="11" t="s">
        <v>356</v>
      </c>
      <c r="B18">
        <v>5</v>
      </c>
      <c r="C18" s="17">
        <f t="shared" si="1"/>
        <v>45139</v>
      </c>
      <c r="E18" s="27" t="s">
        <v>368</v>
      </c>
      <c r="F18" s="23">
        <f t="shared" si="0"/>
        <v>45352</v>
      </c>
      <c r="G18" s="24">
        <v>5</v>
      </c>
      <c r="H18" s="9">
        <f>IF(Forecast[[#This Row],[Date]]&lt;=DATE(2024,12,1), Forecast[[#This Row],[Attendance / Prediction]], #N/A)</f>
        <v>5</v>
      </c>
      <c r="I18" s="9" t="e">
        <f>IF(Forecast[[#This Row],[Date]]&gt;=DATE(2024,12,1), Forecast[[#This Row],[Attendance / Prediction]], #N/A)</f>
        <v>#N/A</v>
      </c>
    </row>
    <row r="19" spans="1:9" x14ac:dyDescent="0.25">
      <c r="A19" s="11" t="s">
        <v>357</v>
      </c>
      <c r="B19">
        <v>3</v>
      </c>
      <c r="C19" s="17">
        <f t="shared" si="1"/>
        <v>45170</v>
      </c>
      <c r="E19" s="27" t="s">
        <v>368</v>
      </c>
      <c r="F19" s="23">
        <f t="shared" si="0"/>
        <v>45383</v>
      </c>
      <c r="G19" s="24">
        <v>3</v>
      </c>
      <c r="H19" s="9">
        <f>IF(Forecast[[#This Row],[Date]]&lt;=DATE(2024,12,1), Forecast[[#This Row],[Attendance / Prediction]], #N/A)</f>
        <v>3</v>
      </c>
      <c r="I19" s="9" t="e">
        <f>IF(Forecast[[#This Row],[Date]]&gt;=DATE(2024,12,1), Forecast[[#This Row],[Attendance / Prediction]], #N/A)</f>
        <v>#N/A</v>
      </c>
    </row>
    <row r="20" spans="1:9" x14ac:dyDescent="0.25">
      <c r="A20" s="11" t="s">
        <v>358</v>
      </c>
      <c r="B20">
        <v>3</v>
      </c>
      <c r="C20" s="17">
        <f t="shared" si="1"/>
        <v>45200</v>
      </c>
      <c r="E20" s="27" t="s">
        <v>368</v>
      </c>
      <c r="F20" s="23">
        <f t="shared" si="0"/>
        <v>45413</v>
      </c>
      <c r="G20" s="24">
        <v>3</v>
      </c>
      <c r="H20" s="9">
        <f>IF(Forecast[[#This Row],[Date]]&lt;=DATE(2024,12,1), Forecast[[#This Row],[Attendance / Prediction]], #N/A)</f>
        <v>3</v>
      </c>
      <c r="I20" s="9" t="e">
        <f>IF(Forecast[[#This Row],[Date]]&gt;=DATE(2024,12,1), Forecast[[#This Row],[Attendance / Prediction]], #N/A)</f>
        <v>#N/A</v>
      </c>
    </row>
    <row r="21" spans="1:9" x14ac:dyDescent="0.25">
      <c r="A21" s="11" t="s">
        <v>359</v>
      </c>
      <c r="B21">
        <v>6</v>
      </c>
      <c r="C21" s="17">
        <f t="shared" si="1"/>
        <v>45231</v>
      </c>
      <c r="E21" s="27" t="s">
        <v>368</v>
      </c>
      <c r="F21" s="23">
        <f t="shared" si="0"/>
        <v>45444</v>
      </c>
      <c r="G21" s="24">
        <v>6</v>
      </c>
      <c r="H21" s="9">
        <f>IF(Forecast[[#This Row],[Date]]&lt;=DATE(2024,12,1), Forecast[[#This Row],[Attendance / Prediction]], #N/A)</f>
        <v>6</v>
      </c>
      <c r="I21" s="9" t="e">
        <f>IF(Forecast[[#This Row],[Date]]&gt;=DATE(2024,12,1), Forecast[[#This Row],[Attendance / Prediction]], #N/A)</f>
        <v>#N/A</v>
      </c>
    </row>
    <row r="22" spans="1:9" x14ac:dyDescent="0.25">
      <c r="A22" s="11" t="s">
        <v>360</v>
      </c>
      <c r="B22">
        <v>3</v>
      </c>
      <c r="C22" s="17">
        <f t="shared" si="1"/>
        <v>45261</v>
      </c>
      <c r="E22" s="27" t="s">
        <v>368</v>
      </c>
      <c r="F22" s="23">
        <f t="shared" si="0"/>
        <v>45474</v>
      </c>
      <c r="G22" s="24">
        <v>3</v>
      </c>
      <c r="H22" s="9">
        <f>IF(Forecast[[#This Row],[Date]]&lt;=DATE(2024,12,1), Forecast[[#This Row],[Attendance / Prediction]], #N/A)</f>
        <v>3</v>
      </c>
      <c r="I22" s="9" t="e">
        <f>IF(Forecast[[#This Row],[Date]]&gt;=DATE(2024,12,1), Forecast[[#This Row],[Attendance / Prediction]], #N/A)</f>
        <v>#N/A</v>
      </c>
    </row>
    <row r="23" spans="1:9" x14ac:dyDescent="0.25">
      <c r="A23" s="11" t="s">
        <v>361</v>
      </c>
      <c r="B23">
        <v>7</v>
      </c>
      <c r="C23" s="17">
        <f t="shared" si="1"/>
        <v>45292</v>
      </c>
      <c r="E23" s="27" t="s">
        <v>368</v>
      </c>
      <c r="F23" s="23">
        <f t="shared" si="0"/>
        <v>45505</v>
      </c>
      <c r="G23" s="24">
        <v>7</v>
      </c>
      <c r="H23" s="9">
        <f>IF(Forecast[[#This Row],[Date]]&lt;=DATE(2024,12,1), Forecast[[#This Row],[Attendance / Prediction]], #N/A)</f>
        <v>7</v>
      </c>
      <c r="I23" s="9" t="e">
        <f>IF(Forecast[[#This Row],[Date]]&gt;=DATE(2024,12,1), Forecast[[#This Row],[Attendance / Prediction]], #N/A)</f>
        <v>#N/A</v>
      </c>
    </row>
    <row r="24" spans="1:9" x14ac:dyDescent="0.25">
      <c r="A24" s="11" t="s">
        <v>362</v>
      </c>
      <c r="B24">
        <v>2</v>
      </c>
      <c r="C24" s="17">
        <f t="shared" si="1"/>
        <v>45323</v>
      </c>
      <c r="E24" s="27" t="s">
        <v>368</v>
      </c>
      <c r="F24" s="23">
        <f t="shared" si="0"/>
        <v>45536</v>
      </c>
      <c r="G24" s="24">
        <v>2</v>
      </c>
      <c r="H24" s="9">
        <f>IF(Forecast[[#This Row],[Date]]&lt;=DATE(2024,12,1), Forecast[[#This Row],[Attendance / Prediction]], #N/A)</f>
        <v>2</v>
      </c>
      <c r="I24" s="9" t="e">
        <f>IF(Forecast[[#This Row],[Date]]&gt;=DATE(2024,12,1), Forecast[[#This Row],[Attendance / Prediction]], #N/A)</f>
        <v>#N/A</v>
      </c>
    </row>
    <row r="25" spans="1:9" x14ac:dyDescent="0.25">
      <c r="A25" s="11" t="s">
        <v>363</v>
      </c>
      <c r="B25">
        <v>6</v>
      </c>
      <c r="C25" s="17">
        <f t="shared" si="1"/>
        <v>45352</v>
      </c>
      <c r="E25" s="27" t="s">
        <v>368</v>
      </c>
      <c r="F25" s="23">
        <f t="shared" si="0"/>
        <v>45566</v>
      </c>
      <c r="G25" s="24">
        <v>6</v>
      </c>
      <c r="H25" s="9">
        <f>IF(Forecast[[#This Row],[Date]]&lt;=DATE(2024,12,1), Forecast[[#This Row],[Attendance / Prediction]], #N/A)</f>
        <v>6</v>
      </c>
      <c r="I25" s="9" t="e">
        <f>IF(Forecast[[#This Row],[Date]]&gt;=DATE(2024,12,1), Forecast[[#This Row],[Attendance / Prediction]], #N/A)</f>
        <v>#N/A</v>
      </c>
    </row>
    <row r="26" spans="1:9" x14ac:dyDescent="0.25">
      <c r="A26" s="11" t="s">
        <v>364</v>
      </c>
      <c r="B26">
        <v>2</v>
      </c>
      <c r="C26" s="17">
        <f t="shared" si="1"/>
        <v>45383</v>
      </c>
      <c r="E26" s="27" t="s">
        <v>368</v>
      </c>
      <c r="F26" s="23">
        <f t="shared" si="0"/>
        <v>45597</v>
      </c>
      <c r="G26" s="24">
        <v>2</v>
      </c>
      <c r="H26" s="9">
        <f>IF(Forecast[[#This Row],[Date]]&lt;=DATE(2024,12,1), Forecast[[#This Row],[Attendance / Prediction]], #N/A)</f>
        <v>2</v>
      </c>
      <c r="I26" s="9" t="e">
        <f>IF(Forecast[[#This Row],[Date]]&gt;=DATE(2024,12,1), Forecast[[#This Row],[Attendance / Prediction]], #N/A)</f>
        <v>#N/A</v>
      </c>
    </row>
    <row r="27" spans="1:9" x14ac:dyDescent="0.25">
      <c r="A27" s="11" t="s">
        <v>325</v>
      </c>
      <c r="B27">
        <v>100</v>
      </c>
      <c r="C27" s="17">
        <f t="shared" si="1"/>
        <v>45413</v>
      </c>
      <c r="E27" s="26" t="s">
        <v>327</v>
      </c>
      <c r="F27" s="21">
        <v>45627</v>
      </c>
      <c r="G27" s="22">
        <f t="shared" ref="G27:G34" si="2">_xlfn.FORECAST.ETS(F27, $B$2:$B$26, $C$9:$C$33, 12)</f>
        <v>3.4416779789702634</v>
      </c>
      <c r="H27" s="22">
        <f>IF(Forecast[[#This Row],[Date]]&lt;=DATE(2024,12,1), Forecast[[#This Row],[Attendance / Prediction]], #N/A)</f>
        <v>3.4416779789702634</v>
      </c>
      <c r="I27" s="22">
        <f>IF(Forecast[[#This Row],[Date]]&gt;=DATE(2024,12,1), Forecast[[#This Row],[Attendance / Prediction]], #N/A)</f>
        <v>3.4416779789702634</v>
      </c>
    </row>
    <row r="28" spans="1:9" x14ac:dyDescent="0.25">
      <c r="C28" s="17">
        <f t="shared" si="1"/>
        <v>45444</v>
      </c>
      <c r="E28" s="26" t="s">
        <v>327</v>
      </c>
      <c r="F28" s="21">
        <v>45658</v>
      </c>
      <c r="G28" s="22">
        <f t="shared" si="2"/>
        <v>7.31364359215282</v>
      </c>
      <c r="H28" s="9" t="e">
        <f>IF(Forecast[[#This Row],[Date]]&lt;=DATE(2024,12,1), Forecast[[#This Row],[Attendance / Prediction]], #N/A)</f>
        <v>#N/A</v>
      </c>
      <c r="I28" s="22">
        <f>IF(Forecast[[#This Row],[Date]]&gt;=DATE(2024,12,1), Forecast[[#This Row],[Attendance / Prediction]], #N/A)</f>
        <v>7.31364359215282</v>
      </c>
    </row>
    <row r="29" spans="1:9" x14ac:dyDescent="0.25">
      <c r="C29" s="17">
        <f t="shared" si="1"/>
        <v>45474</v>
      </c>
      <c r="E29" s="26" t="s">
        <v>327</v>
      </c>
      <c r="F29" s="21">
        <v>45689</v>
      </c>
      <c r="G29" s="22">
        <f t="shared" si="2"/>
        <v>9.8749673196887962</v>
      </c>
      <c r="H29" s="9" t="e">
        <f>IF(Forecast[[#This Row],[Date]]&lt;=DATE(2024,12,1), Forecast[[#This Row],[Attendance / Prediction]], #N/A)</f>
        <v>#N/A</v>
      </c>
      <c r="I29" s="22">
        <f>IF(Forecast[[#This Row],[Date]]&gt;=DATE(2024,12,1), Forecast[[#This Row],[Attendance / Prediction]], #N/A)</f>
        <v>9.8749673196887962</v>
      </c>
    </row>
    <row r="30" spans="1:9" x14ac:dyDescent="0.25">
      <c r="C30" s="17">
        <f t="shared" si="1"/>
        <v>45505</v>
      </c>
      <c r="E30" s="26" t="s">
        <v>327</v>
      </c>
      <c r="F30" s="21">
        <v>45717</v>
      </c>
      <c r="G30" s="22">
        <f t="shared" si="2"/>
        <v>5.3105213832450824</v>
      </c>
      <c r="H30" s="9" t="e">
        <f>IF(Forecast[[#This Row],[Date]]&lt;=DATE(2024,12,1), Forecast[[#This Row],[Attendance / Prediction]], #N/A)</f>
        <v>#N/A</v>
      </c>
      <c r="I30" s="22">
        <f>IF(Forecast[[#This Row],[Date]]&gt;=DATE(2024,12,1), Forecast[[#This Row],[Attendance / Prediction]], #N/A)</f>
        <v>5.3105213832450824</v>
      </c>
    </row>
    <row r="31" spans="1:9" x14ac:dyDescent="0.25">
      <c r="C31" s="17">
        <f t="shared" si="1"/>
        <v>45536</v>
      </c>
      <c r="E31" s="26" t="s">
        <v>327</v>
      </c>
      <c r="F31" s="21">
        <v>45748</v>
      </c>
      <c r="G31" s="22">
        <f t="shared" si="2"/>
        <v>5.7247200865882499</v>
      </c>
      <c r="H31" s="9" t="e">
        <f>IF(Forecast[[#This Row],[Date]]&lt;=DATE(2024,12,1), Forecast[[#This Row],[Attendance / Prediction]], #N/A)</f>
        <v>#N/A</v>
      </c>
      <c r="I31" s="22">
        <f>IF(Forecast[[#This Row],[Date]]&gt;=DATE(2024,12,1), Forecast[[#This Row],[Attendance / Prediction]], #N/A)</f>
        <v>5.7247200865882499</v>
      </c>
    </row>
    <row r="32" spans="1:9" x14ac:dyDescent="0.25">
      <c r="C32" s="17">
        <f t="shared" si="1"/>
        <v>45566</v>
      </c>
      <c r="E32" s="26" t="s">
        <v>327</v>
      </c>
      <c r="F32" s="21">
        <v>45778</v>
      </c>
      <c r="G32" s="22">
        <f t="shared" si="2"/>
        <v>4.3287936753638494</v>
      </c>
      <c r="H32" s="9" t="e">
        <f>IF(Forecast[[#This Row],[Date]]&lt;=DATE(2024,12,1), Forecast[[#This Row],[Attendance / Prediction]], #N/A)</f>
        <v>#N/A</v>
      </c>
      <c r="I32" s="22">
        <f>IF(Forecast[[#This Row],[Date]]&gt;=DATE(2024,12,1), Forecast[[#This Row],[Attendance / Prediction]], #N/A)</f>
        <v>4.3287936753638494</v>
      </c>
    </row>
    <row r="33" spans="3:9" x14ac:dyDescent="0.25">
      <c r="C33" s="17">
        <f t="shared" si="1"/>
        <v>45597</v>
      </c>
      <c r="E33" s="26" t="s">
        <v>327</v>
      </c>
      <c r="F33" s="21">
        <v>45809</v>
      </c>
      <c r="G33" s="22">
        <f t="shared" si="2"/>
        <v>5.4178890461243139</v>
      </c>
      <c r="H33" s="9" t="e">
        <f>IF(Forecast[[#This Row],[Date]]&lt;=DATE(2024,12,1), Forecast[[#This Row],[Attendance / Prediction]], #N/A)</f>
        <v>#N/A</v>
      </c>
      <c r="I33" s="22">
        <f>IF(Forecast[[#This Row],[Date]]&gt;=DATE(2024,12,1), Forecast[[#This Row],[Attendance / Prediction]], #N/A)</f>
        <v>5.4178890461243139</v>
      </c>
    </row>
    <row r="34" spans="3:9" x14ac:dyDescent="0.25">
      <c r="E34" s="26" t="s">
        <v>327</v>
      </c>
      <c r="F34" s="21">
        <v>45839</v>
      </c>
      <c r="G34" s="22">
        <f t="shared" si="2"/>
        <v>5.2640075045551269</v>
      </c>
      <c r="H34" s="9" t="e">
        <f>IF(Forecast[[#This Row],[Date]]&lt;=DATE(2024,12,1), Forecast[[#This Row],[Attendance / Prediction]], #N/A)</f>
        <v>#N/A</v>
      </c>
      <c r="I34" s="22">
        <f>IF(Forecast[[#This Row],[Date]]&gt;=DATE(2024,12,1), Forecast[[#This Row],[Attendance / Prediction]], #N/A)</f>
        <v>5.2640075045551269</v>
      </c>
    </row>
  </sheetData>
  <phoneticPr fontId="13" type="noConversion"/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C7406-9814-4E7D-9A00-23AB9CF4E961}">
  <sheetPr codeName="Hoja2"/>
  <dimension ref="A1:B43"/>
  <sheetViews>
    <sheetView workbookViewId="0">
      <selection activeCell="P18" sqref="P18"/>
    </sheetView>
  </sheetViews>
  <sheetFormatPr baseColWidth="10" defaultRowHeight="15" x14ac:dyDescent="0.25"/>
  <cols>
    <col min="1" max="1" width="12.5703125" bestFit="1" customWidth="1"/>
    <col min="2" max="2" width="20.140625" bestFit="1" customWidth="1"/>
  </cols>
  <sheetData>
    <row r="1" spans="1:2" x14ac:dyDescent="0.25">
      <c r="A1" s="4" t="s">
        <v>326</v>
      </c>
      <c r="B1" t="s">
        <v>329</v>
      </c>
    </row>
    <row r="2" spans="1:2" x14ac:dyDescent="0.25">
      <c r="A2" s="6">
        <v>2022</v>
      </c>
      <c r="B2">
        <v>5</v>
      </c>
    </row>
    <row r="3" spans="1:2" x14ac:dyDescent="0.25">
      <c r="A3" s="5">
        <v>11</v>
      </c>
      <c r="B3">
        <v>1</v>
      </c>
    </row>
    <row r="4" spans="1:2" x14ac:dyDescent="0.25">
      <c r="A4" s="5">
        <v>12</v>
      </c>
      <c r="B4">
        <v>4</v>
      </c>
    </row>
    <row r="5" spans="1:2" x14ac:dyDescent="0.25">
      <c r="A5" s="6">
        <v>2023</v>
      </c>
      <c r="B5">
        <v>42</v>
      </c>
    </row>
    <row r="6" spans="1:2" x14ac:dyDescent="0.25">
      <c r="A6" s="5">
        <v>1</v>
      </c>
      <c r="B6">
        <v>3</v>
      </c>
    </row>
    <row r="7" spans="1:2" x14ac:dyDescent="0.25">
      <c r="A7" s="5">
        <v>2</v>
      </c>
      <c r="B7">
        <v>8</v>
      </c>
    </row>
    <row r="8" spans="1:2" x14ac:dyDescent="0.25">
      <c r="A8" s="5">
        <v>3</v>
      </c>
      <c r="B8">
        <v>1</v>
      </c>
    </row>
    <row r="9" spans="1:2" x14ac:dyDescent="0.25">
      <c r="A9" s="5">
        <v>4</v>
      </c>
      <c r="B9">
        <v>6</v>
      </c>
    </row>
    <row r="10" spans="1:2" x14ac:dyDescent="0.25">
      <c r="A10" s="5">
        <v>5</v>
      </c>
      <c r="B10">
        <v>3</v>
      </c>
    </row>
    <row r="11" spans="1:2" x14ac:dyDescent="0.25">
      <c r="A11" s="5">
        <v>6</v>
      </c>
      <c r="B11">
        <v>2</v>
      </c>
    </row>
    <row r="12" spans="1:2" x14ac:dyDescent="0.25">
      <c r="A12" s="5">
        <v>7</v>
      </c>
      <c r="B12">
        <v>5</v>
      </c>
    </row>
    <row r="13" spans="1:2" x14ac:dyDescent="0.25">
      <c r="A13" s="5">
        <v>8</v>
      </c>
      <c r="B13">
        <v>3</v>
      </c>
    </row>
    <row r="14" spans="1:2" x14ac:dyDescent="0.25">
      <c r="A14" s="5">
        <v>9</v>
      </c>
      <c r="B14">
        <v>3</v>
      </c>
    </row>
    <row r="15" spans="1:2" x14ac:dyDescent="0.25">
      <c r="A15" s="5">
        <v>10</v>
      </c>
      <c r="B15">
        <v>4</v>
      </c>
    </row>
    <row r="16" spans="1:2" x14ac:dyDescent="0.25">
      <c r="A16" s="5">
        <v>11</v>
      </c>
      <c r="B16">
        <v>2</v>
      </c>
    </row>
    <row r="17" spans="1:2" x14ac:dyDescent="0.25">
      <c r="A17" s="5">
        <v>12</v>
      </c>
      <c r="B17">
        <v>2</v>
      </c>
    </row>
    <row r="18" spans="1:2" x14ac:dyDescent="0.25">
      <c r="A18" s="6">
        <v>2024</v>
      </c>
      <c r="B18">
        <v>53</v>
      </c>
    </row>
    <row r="19" spans="1:2" x14ac:dyDescent="0.25">
      <c r="A19" s="5">
        <v>1</v>
      </c>
      <c r="B19">
        <v>7</v>
      </c>
    </row>
    <row r="20" spans="1:2" x14ac:dyDescent="0.25">
      <c r="A20" s="5">
        <v>2</v>
      </c>
      <c r="B20">
        <v>9</v>
      </c>
    </row>
    <row r="21" spans="1:2" x14ac:dyDescent="0.25">
      <c r="A21" s="5">
        <v>3</v>
      </c>
      <c r="B21">
        <v>5</v>
      </c>
    </row>
    <row r="22" spans="1:2" x14ac:dyDescent="0.25">
      <c r="A22" s="5">
        <v>4</v>
      </c>
      <c r="B22">
        <v>3</v>
      </c>
    </row>
    <row r="23" spans="1:2" x14ac:dyDescent="0.25">
      <c r="A23" s="5">
        <v>5</v>
      </c>
      <c r="B23">
        <v>3</v>
      </c>
    </row>
    <row r="24" spans="1:2" x14ac:dyDescent="0.25">
      <c r="A24" s="5">
        <v>6</v>
      </c>
      <c r="B24">
        <v>6</v>
      </c>
    </row>
    <row r="25" spans="1:2" x14ac:dyDescent="0.25">
      <c r="A25" s="5">
        <v>7</v>
      </c>
      <c r="B25">
        <v>3</v>
      </c>
    </row>
    <row r="26" spans="1:2" x14ac:dyDescent="0.25">
      <c r="A26" s="5">
        <v>8</v>
      </c>
      <c r="B26">
        <v>7</v>
      </c>
    </row>
    <row r="27" spans="1:2" x14ac:dyDescent="0.25">
      <c r="A27" s="5">
        <v>9</v>
      </c>
      <c r="B27">
        <v>2</v>
      </c>
    </row>
    <row r="28" spans="1:2" x14ac:dyDescent="0.25">
      <c r="A28" s="5">
        <v>10</v>
      </c>
      <c r="B28">
        <v>6</v>
      </c>
    </row>
    <row r="29" spans="1:2" x14ac:dyDescent="0.25">
      <c r="A29" s="5">
        <v>11</v>
      </c>
      <c r="B29">
        <v>2</v>
      </c>
    </row>
    <row r="30" spans="1:2" x14ac:dyDescent="0.25">
      <c r="A30" s="6" t="s">
        <v>325</v>
      </c>
      <c r="B30">
        <v>100</v>
      </c>
    </row>
    <row r="33" spans="1:2" x14ac:dyDescent="0.25">
      <c r="A33" s="4" t="s">
        <v>331</v>
      </c>
      <c r="B33" t="s">
        <v>330</v>
      </c>
    </row>
    <row r="34" spans="1:2" x14ac:dyDescent="0.25">
      <c r="A34" s="11" t="s">
        <v>11</v>
      </c>
      <c r="B34">
        <v>59</v>
      </c>
    </row>
    <row r="35" spans="1:2" x14ac:dyDescent="0.25">
      <c r="A35" s="11" t="s">
        <v>24</v>
      </c>
      <c r="B35">
        <v>41</v>
      </c>
    </row>
    <row r="36" spans="1:2" x14ac:dyDescent="0.25">
      <c r="A36" s="11" t="s">
        <v>325</v>
      </c>
      <c r="B36">
        <v>100</v>
      </c>
    </row>
    <row r="39" spans="1:2" x14ac:dyDescent="0.25">
      <c r="A39" s="4" t="s">
        <v>332</v>
      </c>
      <c r="B39" t="s">
        <v>330</v>
      </c>
    </row>
    <row r="40" spans="1:2" x14ac:dyDescent="0.25">
      <c r="A40" s="11" t="s">
        <v>10</v>
      </c>
      <c r="B40">
        <v>28</v>
      </c>
    </row>
    <row r="41" spans="1:2" x14ac:dyDescent="0.25">
      <c r="A41" s="11" t="s">
        <v>17</v>
      </c>
      <c r="B41">
        <v>36</v>
      </c>
    </row>
    <row r="42" spans="1:2" x14ac:dyDescent="0.25">
      <c r="A42" s="11" t="s">
        <v>23</v>
      </c>
      <c r="B42">
        <v>36</v>
      </c>
    </row>
    <row r="43" spans="1:2" x14ac:dyDescent="0.25">
      <c r="A43" s="11" t="s">
        <v>325</v>
      </c>
      <c r="B43">
        <v>100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F46D-F25B-4667-A54A-ACF17CE6D912}">
  <sheetPr codeName="Hoja4"/>
  <dimension ref="B1:G14"/>
  <sheetViews>
    <sheetView showGridLines="0" tabSelected="1" zoomScaleNormal="100" workbookViewId="0">
      <selection activeCell="Q9" sqref="Q9"/>
    </sheetView>
  </sheetViews>
  <sheetFormatPr baseColWidth="10" defaultRowHeight="15" x14ac:dyDescent="0.25"/>
  <cols>
    <col min="1" max="1" width="9" customWidth="1"/>
    <col min="2" max="2" width="43.28515625" customWidth="1"/>
    <col min="3" max="3" width="17.140625" customWidth="1"/>
    <col min="4" max="4" width="10.7109375" customWidth="1"/>
    <col min="5" max="5" width="33.7109375" customWidth="1"/>
    <col min="6" max="6" width="11.42578125" customWidth="1"/>
    <col min="7" max="7" width="6.140625" customWidth="1"/>
  </cols>
  <sheetData>
    <row r="1" spans="2:7" ht="7.5" customHeight="1" x14ac:dyDescent="0.25"/>
    <row r="2" spans="2:7" ht="31.5" x14ac:dyDescent="0.5">
      <c r="B2" s="32" t="s">
        <v>338</v>
      </c>
      <c r="C2" s="32"/>
      <c r="D2" s="32"/>
      <c r="E2" s="32"/>
      <c r="F2" s="32"/>
    </row>
    <row r="4" spans="2:7" ht="18.75" x14ac:dyDescent="0.3">
      <c r="B4" s="33" t="s">
        <v>333</v>
      </c>
      <c r="C4" s="33"/>
      <c r="D4" s="33"/>
      <c r="E4" s="33"/>
      <c r="F4" s="33"/>
    </row>
    <row r="6" spans="2:7" x14ac:dyDescent="0.25">
      <c r="B6" s="15" t="s">
        <v>334</v>
      </c>
      <c r="C6" s="13">
        <f>MAX('Pivot tables and Charts'!$B$3:$B$4, 'Pivot tables and Charts'!$B$6:$B$17, 'Pivot tables and Charts'!$B$19:$B$29)</f>
        <v>9</v>
      </c>
      <c r="E6" s="28" t="s">
        <v>328</v>
      </c>
      <c r="F6" s="29">
        <v>1081.8181818181818</v>
      </c>
    </row>
    <row r="7" spans="2:7" x14ac:dyDescent="0.25">
      <c r="B7" s="15" t="s">
        <v>335</v>
      </c>
      <c r="C7" s="13">
        <f>MIN('Pivot tables and Charts'!$B$3:$B$4, 'Pivot tables and Charts'!$B$6:$B$17, 'Pivot tables and Charts'!$B$19:$B$29)</f>
        <v>1</v>
      </c>
      <c r="E7" s="15" t="s">
        <v>320</v>
      </c>
      <c r="F7" s="13">
        <v>6500</v>
      </c>
    </row>
    <row r="8" spans="2:7" x14ac:dyDescent="0.25">
      <c r="B8" s="15" t="s">
        <v>336</v>
      </c>
      <c r="C8" s="13">
        <f>AVERAGE('Pivot tables and Charts'!$B$3:$B$4, 'Pivot tables and Charts'!$B$6:$B$17, 'Pivot tables and Charts'!$B$19:$B$29)</f>
        <v>4</v>
      </c>
      <c r="E8" s="15" t="s">
        <v>321</v>
      </c>
      <c r="F8" s="13">
        <v>3000</v>
      </c>
    </row>
    <row r="9" spans="2:7" x14ac:dyDescent="0.25">
      <c r="E9" s="31" t="s">
        <v>371</v>
      </c>
      <c r="F9" s="30">
        <f>SUM(Projections!G15:G26)</f>
        <v>55</v>
      </c>
    </row>
    <row r="10" spans="2:7" x14ac:dyDescent="0.25">
      <c r="B10" s="15" t="s">
        <v>337</v>
      </c>
      <c r="C10" s="14" t="s">
        <v>24</v>
      </c>
      <c r="E10" s="31" t="s">
        <v>319</v>
      </c>
      <c r="F10" s="13">
        <f>F6 * F9 - F7 - F8</f>
        <v>50000</v>
      </c>
    </row>
    <row r="11" spans="2:7" x14ac:dyDescent="0.25">
      <c r="B11" s="12"/>
      <c r="C11" s="12"/>
      <c r="F11" s="7"/>
    </row>
    <row r="12" spans="2:7" x14ac:dyDescent="0.25">
      <c r="B12" s="34" t="s">
        <v>372</v>
      </c>
      <c r="C12" s="35"/>
      <c r="D12" s="35"/>
      <c r="E12" s="35"/>
      <c r="F12" s="35"/>
    </row>
    <row r="14" spans="2:7" x14ac:dyDescent="0.25">
      <c r="G14" s="16"/>
    </row>
  </sheetData>
  <mergeCells count="3">
    <mergeCell ref="B2:F2"/>
    <mergeCell ref="B4:F4"/>
    <mergeCell ref="B12:F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freshAllCharts">
                <anchor moveWithCells="1" sizeWithCells="1">
                  <from>
                    <xdr:col>11</xdr:col>
                    <xdr:colOff>400050</xdr:colOff>
                    <xdr:row>31</xdr:row>
                    <xdr:rowOff>180975</xdr:rowOff>
                  </from>
                  <to>
                    <xdr:col>13</xdr:col>
                    <xdr:colOff>704850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Event Data</vt:lpstr>
      <vt:lpstr>Projections</vt:lpstr>
      <vt:lpstr>Pivot tables and Charts</vt:lpstr>
      <vt:lpstr>Event 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Niq Hartley</dc:creator>
  <cp:lastModifiedBy>PILARES ROJO GÓMEZ</cp:lastModifiedBy>
  <dcterms:created xsi:type="dcterms:W3CDTF">2024-11-13T21:46:44Z</dcterms:created>
  <dcterms:modified xsi:type="dcterms:W3CDTF">2025-03-22T19:40:20Z</dcterms:modified>
</cp:coreProperties>
</file>