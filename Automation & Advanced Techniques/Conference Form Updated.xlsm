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Dennis\Desktop\"/>
    </mc:Choice>
  </mc:AlternateContent>
  <bookViews>
    <workbookView xWindow="0" yWindow="0" windowWidth="23040" windowHeight="8136" tabRatio="1000" activeTab="5"/>
  </bookViews>
  <sheets>
    <sheet name="Database" sheetId="1" r:id="rId1"/>
    <sheet name="Assumptions" sheetId="2" r:id="rId2"/>
    <sheet name="AttendeeData" sheetId="3" r:id="rId3"/>
    <sheet name="Projections" sheetId="6" r:id="rId4"/>
    <sheet name="Pivots" sheetId="11" r:id="rId5"/>
    <sheet name="Event Dashboard" sheetId="12" r:id="rId6"/>
  </sheets>
  <definedNames>
    <definedName name="_xlnm._FilterDatabase" localSheetId="0" hidden="1">Database!$A$1:$H$101</definedName>
    <definedName name="_xleta.FORECAST.LINEAR" hidden="1" xlm="1">#NAME?</definedName>
    <definedName name="_xlnm.Database">Table1[]</definedName>
    <definedName name="NativeTimeline_Registration_Date">#N/A</definedName>
    <definedName name="Slicer_Attendance_Type">#N/A</definedName>
    <definedName name="Slicer_Session_Preference">#N/A</definedName>
  </definedNames>
  <calcPr calcId="162913"/>
  <pivotCaches>
    <pivotCache cacheId="4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2" roundtripDataChecksum="p/lTEf6R25G71rYCdVpbL8ieWXC8BYRzH/GOFNT4iHo="/>
    </ext>
  </extLst>
</workbook>
</file>

<file path=xl/calcChain.xml><?xml version="1.0" encoding="utf-8"?>
<calcChain xmlns="http://schemas.openxmlformats.org/spreadsheetml/2006/main">
  <c r="G2" i="6" l="1"/>
  <c r="C19" i="6"/>
  <c r="C21" i="6"/>
  <c r="C23" i="6"/>
  <c r="C9" i="6"/>
  <c r="B17" i="6"/>
  <c r="B30" i="6"/>
  <c r="B20" i="6"/>
  <c r="B29" i="6"/>
  <c r="C15" i="6"/>
  <c r="C27" i="6"/>
  <c r="C29" i="6"/>
  <c r="C31" i="6"/>
  <c r="C17" i="6"/>
  <c r="B3" i="6"/>
  <c r="B8" i="6"/>
  <c r="B4" i="6"/>
  <c r="B2" i="6"/>
  <c r="C13" i="6"/>
  <c r="B23" i="6"/>
  <c r="C4" i="6"/>
  <c r="C6" i="6"/>
  <c r="C26" i="6"/>
  <c r="C25" i="6"/>
  <c r="B22" i="6"/>
  <c r="B26" i="6"/>
  <c r="B7" i="6"/>
  <c r="B9" i="6"/>
  <c r="C18" i="6"/>
  <c r="C12" i="6"/>
  <c r="C14" i="6"/>
  <c r="C8" i="6"/>
  <c r="C10" i="6"/>
  <c r="B25" i="6"/>
  <c r="B16" i="6"/>
  <c r="B32" i="6"/>
  <c r="B21" i="6"/>
  <c r="C11" i="6"/>
  <c r="B24" i="6"/>
  <c r="C20" i="6"/>
  <c r="C22" i="6"/>
  <c r="C16" i="6"/>
  <c r="C2" i="6"/>
  <c r="B18" i="6"/>
  <c r="B19" i="6"/>
  <c r="B28" i="6"/>
  <c r="C28" i="6"/>
  <c r="C30" i="6"/>
  <c r="C24" i="6"/>
  <c r="B14" i="6"/>
  <c r="B12" i="6"/>
  <c r="B27" i="6"/>
  <c r="B15" i="6"/>
  <c r="B11" i="6"/>
  <c r="C3" i="6"/>
  <c r="C5" i="6"/>
  <c r="C7" i="6"/>
  <c r="C32" i="6"/>
  <c r="B31" i="6"/>
  <c r="B5" i="6"/>
  <c r="B13" i="6"/>
  <c r="B6" i="6"/>
  <c r="B10" i="6"/>
  <c r="D32" i="6" l="1"/>
  <c r="D7" i="6"/>
  <c r="D5" i="6"/>
  <c r="I10" i="2"/>
  <c r="I12" i="2" s="1"/>
  <c r="I14" i="2" s="1"/>
  <c r="F10" i="2"/>
  <c r="F12" i="2" s="1"/>
  <c r="F14" i="2" s="1"/>
  <c r="C10" i="2"/>
  <c r="C12" i="2" s="1"/>
  <c r="C14" i="2" s="1"/>
  <c r="D3" i="6"/>
  <c r="D24" i="6"/>
  <c r="D30" i="6"/>
  <c r="D28" i="6"/>
  <c r="D2" i="6"/>
  <c r="D16" i="6"/>
  <c r="D22" i="6"/>
  <c r="D20" i="6"/>
  <c r="D11" i="6"/>
  <c r="D10" i="6"/>
  <c r="D8" i="6"/>
  <c r="D14" i="6"/>
  <c r="D12" i="6"/>
  <c r="D18" i="6"/>
  <c r="D25" i="6"/>
  <c r="D26" i="6"/>
  <c r="D6" i="6"/>
  <c r="D4" i="6"/>
  <c r="D13" i="6"/>
  <c r="D17" i="6"/>
  <c r="D31" i="6"/>
  <c r="D29" i="6"/>
  <c r="D27" i="6"/>
  <c r="D15" i="6"/>
  <c r="D9" i="6"/>
  <c r="D23" i="6"/>
  <c r="D21" i="6"/>
  <c r="D19" i="6"/>
</calcChain>
</file>

<file path=xl/sharedStrings.xml><?xml version="1.0" encoding="utf-8"?>
<sst xmlns="http://schemas.openxmlformats.org/spreadsheetml/2006/main" count="745" uniqueCount="473">
  <si>
    <t>Name</t>
  </si>
  <si>
    <t>Email</t>
  </si>
  <si>
    <t>Phone Number</t>
  </si>
  <si>
    <t>Attendance Type</t>
  </si>
  <si>
    <t>Session Preference</t>
  </si>
  <si>
    <t>Ticket Price (€)</t>
  </si>
  <si>
    <t>Registration Date</t>
  </si>
  <si>
    <t>A001</t>
  </si>
  <si>
    <t>Participant 1</t>
  </si>
  <si>
    <t>Participant1@example.com</t>
  </si>
  <si>
    <t>555-0001</t>
  </si>
  <si>
    <t>Online</t>
  </si>
  <si>
    <t>Data Analytics</t>
  </si>
  <si>
    <t>A002</t>
  </si>
  <si>
    <t>Participant 2</t>
  </si>
  <si>
    <t>Participant2@example.com</t>
  </si>
  <si>
    <t>555-0002</t>
  </si>
  <si>
    <t>In-Person</t>
  </si>
  <si>
    <t>A003</t>
  </si>
  <si>
    <t>Participant 3</t>
  </si>
  <si>
    <t>Participant3@example.com</t>
  </si>
  <si>
    <t>555-0003</t>
  </si>
  <si>
    <t>Artificial Intelligence</t>
  </si>
  <si>
    <t>A004</t>
  </si>
  <si>
    <t>Participant 4</t>
  </si>
  <si>
    <t>Participant4@example.com</t>
  </si>
  <si>
    <t>555-0004</t>
  </si>
  <si>
    <t>Cybersecurity</t>
  </si>
  <si>
    <t>A005</t>
  </si>
  <si>
    <t>Participant 5</t>
  </si>
  <si>
    <t>Participant5@example.com</t>
  </si>
  <si>
    <t>555-0005</t>
  </si>
  <si>
    <t>A006</t>
  </si>
  <si>
    <t>Participant 6</t>
  </si>
  <si>
    <t>Participant6@example.com</t>
  </si>
  <si>
    <t>555-0006</t>
  </si>
  <si>
    <t>A007</t>
  </si>
  <si>
    <t>Participant 7</t>
  </si>
  <si>
    <t>Participant7@example.com</t>
  </si>
  <si>
    <t>555-0007</t>
  </si>
  <si>
    <t>A008</t>
  </si>
  <si>
    <t>Participant 8</t>
  </si>
  <si>
    <t>Participant8@example.com</t>
  </si>
  <si>
    <t>555-0008</t>
  </si>
  <si>
    <t>A009</t>
  </si>
  <si>
    <t>Participant 9</t>
  </si>
  <si>
    <t>Participant9@example.com</t>
  </si>
  <si>
    <t>555-0009</t>
  </si>
  <si>
    <t>A010</t>
  </si>
  <si>
    <t>Participant 10</t>
  </si>
  <si>
    <t>Participant10@example.com</t>
  </si>
  <si>
    <t>555-0010</t>
  </si>
  <si>
    <t>A011</t>
  </si>
  <si>
    <t>Participant 11</t>
  </si>
  <si>
    <t>Participant11@example.com</t>
  </si>
  <si>
    <t>555-0011</t>
  </si>
  <si>
    <t>A012</t>
  </si>
  <si>
    <t>Participant 12</t>
  </si>
  <si>
    <t>Participant12@example.com</t>
  </si>
  <si>
    <t>555-0012</t>
  </si>
  <si>
    <t>A013</t>
  </si>
  <si>
    <t>Participant 13</t>
  </si>
  <si>
    <t>Participant13@example.com</t>
  </si>
  <si>
    <t>555-0013</t>
  </si>
  <si>
    <t>A014</t>
  </si>
  <si>
    <t>Participant 14</t>
  </si>
  <si>
    <t>Participant14@example.com</t>
  </si>
  <si>
    <t>555-0014</t>
  </si>
  <si>
    <t>A015</t>
  </si>
  <si>
    <t>Participant 15</t>
  </si>
  <si>
    <t>Participant15@example.com</t>
  </si>
  <si>
    <t>555-0015</t>
  </si>
  <si>
    <t>A016</t>
  </si>
  <si>
    <t>Participant 16</t>
  </si>
  <si>
    <t>Participant16@example.com</t>
  </si>
  <si>
    <t>555-0016</t>
  </si>
  <si>
    <t>A017</t>
  </si>
  <si>
    <t>Participant 17</t>
  </si>
  <si>
    <t>Participant17@example.com</t>
  </si>
  <si>
    <t>555-0017</t>
  </si>
  <si>
    <t>A018</t>
  </si>
  <si>
    <t>Participant 18</t>
  </si>
  <si>
    <t>Participant18@example.com</t>
  </si>
  <si>
    <t>555-0018</t>
  </si>
  <si>
    <t>A019</t>
  </si>
  <si>
    <t>Participant 19</t>
  </si>
  <si>
    <t>Participant19@example.com</t>
  </si>
  <si>
    <t>555-0019</t>
  </si>
  <si>
    <t>A020</t>
  </si>
  <si>
    <t>Participant 20</t>
  </si>
  <si>
    <t>Participant20@example.com</t>
  </si>
  <si>
    <t>555-0020</t>
  </si>
  <si>
    <t>A021</t>
  </si>
  <si>
    <t>Participant 21</t>
  </si>
  <si>
    <t>Participant21@example.com</t>
  </si>
  <si>
    <t>555-0021</t>
  </si>
  <si>
    <t>A022</t>
  </si>
  <si>
    <t>Participant 22</t>
  </si>
  <si>
    <t>Participant22@example.com</t>
  </si>
  <si>
    <t>555-0022</t>
  </si>
  <si>
    <t>A023</t>
  </si>
  <si>
    <t>Participant 23</t>
  </si>
  <si>
    <t>Participant23@example.com</t>
  </si>
  <si>
    <t>555-0023</t>
  </si>
  <si>
    <t>A024</t>
  </si>
  <si>
    <t>Participant 24</t>
  </si>
  <si>
    <t>Participant24@example.com</t>
  </si>
  <si>
    <t>555-0024</t>
  </si>
  <si>
    <t>A025</t>
  </si>
  <si>
    <t>Participant 25</t>
  </si>
  <si>
    <t>Participant25@example.com</t>
  </si>
  <si>
    <t>555-0025</t>
  </si>
  <si>
    <t>A026</t>
  </si>
  <si>
    <t>Participant 26</t>
  </si>
  <si>
    <t>Participant26@example.com</t>
  </si>
  <si>
    <t>555-0026</t>
  </si>
  <si>
    <t>A027</t>
  </si>
  <si>
    <t>Participant 27</t>
  </si>
  <si>
    <t>Participant27@example.com</t>
  </si>
  <si>
    <t>555-0027</t>
  </si>
  <si>
    <t>A028</t>
  </si>
  <si>
    <t>Participant 28</t>
  </si>
  <si>
    <t>Participant28@example.com</t>
  </si>
  <si>
    <t>555-0028</t>
  </si>
  <si>
    <t>A029</t>
  </si>
  <si>
    <t>Participant 29</t>
  </si>
  <si>
    <t>Participant29@example.com</t>
  </si>
  <si>
    <t>555-0029</t>
  </si>
  <si>
    <t>A030</t>
  </si>
  <si>
    <t>Participant 30</t>
  </si>
  <si>
    <t>Participant30@example.com</t>
  </si>
  <si>
    <t>555-0030</t>
  </si>
  <si>
    <t>A031</t>
  </si>
  <si>
    <t>Participant 31</t>
  </si>
  <si>
    <t>Participant31@example.com</t>
  </si>
  <si>
    <t>555-0031</t>
  </si>
  <si>
    <t>A032</t>
  </si>
  <si>
    <t>Participant 32</t>
  </si>
  <si>
    <t>Participant32@example.com</t>
  </si>
  <si>
    <t>555-0032</t>
  </si>
  <si>
    <t>A033</t>
  </si>
  <si>
    <t>Participant 33</t>
  </si>
  <si>
    <t>Participant33@example.com</t>
  </si>
  <si>
    <t>555-0033</t>
  </si>
  <si>
    <t>A034</t>
  </si>
  <si>
    <t>Participant 34</t>
  </si>
  <si>
    <t>Participant34@example.com</t>
  </si>
  <si>
    <t>555-0034</t>
  </si>
  <si>
    <t>A035</t>
  </si>
  <si>
    <t>Participant 35</t>
  </si>
  <si>
    <t>Participant35@example.com</t>
  </si>
  <si>
    <t>555-0035</t>
  </si>
  <si>
    <t>A036</t>
  </si>
  <si>
    <t>Participant 36</t>
  </si>
  <si>
    <t>Participant36@example.com</t>
  </si>
  <si>
    <t>555-0036</t>
  </si>
  <si>
    <t>A037</t>
  </si>
  <si>
    <t>Participant 37</t>
  </si>
  <si>
    <t>Participant37@example.com</t>
  </si>
  <si>
    <t>555-0037</t>
  </si>
  <si>
    <t>A038</t>
  </si>
  <si>
    <t>Participant 38</t>
  </si>
  <si>
    <t>Participant38@example.com</t>
  </si>
  <si>
    <t>555-0038</t>
  </si>
  <si>
    <t>A039</t>
  </si>
  <si>
    <t>Participant 39</t>
  </si>
  <si>
    <t>Participant39@example.com</t>
  </si>
  <si>
    <t>555-0039</t>
  </si>
  <si>
    <t>A040</t>
  </si>
  <si>
    <t>Participant 40</t>
  </si>
  <si>
    <t>Participant40@example.com</t>
  </si>
  <si>
    <t>555-0040</t>
  </si>
  <si>
    <t>A041</t>
  </si>
  <si>
    <t>Participant 41</t>
  </si>
  <si>
    <t>Participant41@example.com</t>
  </si>
  <si>
    <t>555-0041</t>
  </si>
  <si>
    <t>A042</t>
  </si>
  <si>
    <t>Participant 42</t>
  </si>
  <si>
    <t>Participant42@example.com</t>
  </si>
  <si>
    <t>555-0042</t>
  </si>
  <si>
    <t>A043</t>
  </si>
  <si>
    <t>Participant 43</t>
  </si>
  <si>
    <t>Participant43@example.com</t>
  </si>
  <si>
    <t>555-0043</t>
  </si>
  <si>
    <t>A044</t>
  </si>
  <si>
    <t>Participant 44</t>
  </si>
  <si>
    <t>Participant44@example.com</t>
  </si>
  <si>
    <t>555-0044</t>
  </si>
  <si>
    <t>A045</t>
  </si>
  <si>
    <t>Participant 45</t>
  </si>
  <si>
    <t>Participant45@example.com</t>
  </si>
  <si>
    <t>555-0045</t>
  </si>
  <si>
    <t>A046</t>
  </si>
  <si>
    <t>Participant 46</t>
  </si>
  <si>
    <t>Participant46@example.com</t>
  </si>
  <si>
    <t>555-0046</t>
  </si>
  <si>
    <t>A047</t>
  </si>
  <si>
    <t>Participant 47</t>
  </si>
  <si>
    <t>Participant47@example.com</t>
  </si>
  <si>
    <t>555-0047</t>
  </si>
  <si>
    <t>A048</t>
  </si>
  <si>
    <t>Participant 48</t>
  </si>
  <si>
    <t>Participant48@example.com</t>
  </si>
  <si>
    <t>555-0048</t>
  </si>
  <si>
    <t>A049</t>
  </si>
  <si>
    <t>Participant 49</t>
  </si>
  <si>
    <t>Participant49@example.com</t>
  </si>
  <si>
    <t>555-0049</t>
  </si>
  <si>
    <t>A050</t>
  </si>
  <si>
    <t>Participant 50</t>
  </si>
  <si>
    <t>Participant50@example.com</t>
  </si>
  <si>
    <t>555-0050</t>
  </si>
  <si>
    <t>A051</t>
  </si>
  <si>
    <t>Participant 51</t>
  </si>
  <si>
    <t>Participant51@example.com</t>
  </si>
  <si>
    <t>555-0051</t>
  </si>
  <si>
    <t>A052</t>
  </si>
  <si>
    <t>Participant 52</t>
  </si>
  <si>
    <t>Participant52@example.com</t>
  </si>
  <si>
    <t>555-0052</t>
  </si>
  <si>
    <t>A053</t>
  </si>
  <si>
    <t>Participant 53</t>
  </si>
  <si>
    <t>Participant53@example.com</t>
  </si>
  <si>
    <t>555-0053</t>
  </si>
  <si>
    <t>A054</t>
  </si>
  <si>
    <t>Participant 54</t>
  </si>
  <si>
    <t>Participant54@example.com</t>
  </si>
  <si>
    <t>555-0054</t>
  </si>
  <si>
    <t>A055</t>
  </si>
  <si>
    <t>Participant 55</t>
  </si>
  <si>
    <t>Participant55@example.com</t>
  </si>
  <si>
    <t>555-0055</t>
  </si>
  <si>
    <t>A056</t>
  </si>
  <si>
    <t>Participant 56</t>
  </si>
  <si>
    <t>Participant56@example.com</t>
  </si>
  <si>
    <t>555-0056</t>
  </si>
  <si>
    <t>A057</t>
  </si>
  <si>
    <t>Participant 57</t>
  </si>
  <si>
    <t>Participant57@example.com</t>
  </si>
  <si>
    <t>555-0057</t>
  </si>
  <si>
    <t>A058</t>
  </si>
  <si>
    <t>Participant 58</t>
  </si>
  <si>
    <t>Participant58@example.com</t>
  </si>
  <si>
    <t>555-0058</t>
  </si>
  <si>
    <t>A059</t>
  </si>
  <si>
    <t>Participant 59</t>
  </si>
  <si>
    <t>Participant59@example.com</t>
  </si>
  <si>
    <t>555-0059</t>
  </si>
  <si>
    <t>A060</t>
  </si>
  <si>
    <t>Participant 60</t>
  </si>
  <si>
    <t>Participant60@example.com</t>
  </si>
  <si>
    <t>555-0060</t>
  </si>
  <si>
    <t>A061</t>
  </si>
  <si>
    <t>Participant 61</t>
  </si>
  <si>
    <t>Participant61@example.com</t>
  </si>
  <si>
    <t>555-0061</t>
  </si>
  <si>
    <t>A062</t>
  </si>
  <si>
    <t>Participant 62</t>
  </si>
  <si>
    <t>Participant62@example.com</t>
  </si>
  <si>
    <t>555-0062</t>
  </si>
  <si>
    <t>A063</t>
  </si>
  <si>
    <t>Participant 63</t>
  </si>
  <si>
    <t>Participant63@example.com</t>
  </si>
  <si>
    <t>555-0063</t>
  </si>
  <si>
    <t>A064</t>
  </si>
  <si>
    <t>Participant 64</t>
  </si>
  <si>
    <t>Participant64@example.com</t>
  </si>
  <si>
    <t>555-0064</t>
  </si>
  <si>
    <t>A065</t>
  </si>
  <si>
    <t>Participant 65</t>
  </si>
  <si>
    <t>Participant65@example.com</t>
  </si>
  <si>
    <t>555-0065</t>
  </si>
  <si>
    <t>A066</t>
  </si>
  <si>
    <t>Participant 66</t>
  </si>
  <si>
    <t>Participant66@example.com</t>
  </si>
  <si>
    <t>555-0066</t>
  </si>
  <si>
    <t>A067</t>
  </si>
  <si>
    <t>Participant 67</t>
  </si>
  <si>
    <t>Participant67@example.com</t>
  </si>
  <si>
    <t>555-0067</t>
  </si>
  <si>
    <t>A068</t>
  </si>
  <si>
    <t>Participant 68</t>
  </si>
  <si>
    <t>Participant68@example.com</t>
  </si>
  <si>
    <t>555-0068</t>
  </si>
  <si>
    <t>A069</t>
  </si>
  <si>
    <t>Participant 69</t>
  </si>
  <si>
    <t>Participant69@example.com</t>
  </si>
  <si>
    <t>555-0069</t>
  </si>
  <si>
    <t>A070</t>
  </si>
  <si>
    <t>Participant 70</t>
  </si>
  <si>
    <t>Participant70@example.com</t>
  </si>
  <si>
    <t>555-0070</t>
  </si>
  <si>
    <t>A071</t>
  </si>
  <si>
    <t>Participant 71</t>
  </si>
  <si>
    <t>Participant71@example.com</t>
  </si>
  <si>
    <t>555-0071</t>
  </si>
  <si>
    <t>A072</t>
  </si>
  <si>
    <t>Participant 72</t>
  </si>
  <si>
    <t>Participant72@example.com</t>
  </si>
  <si>
    <t>555-0072</t>
  </si>
  <si>
    <t>A073</t>
  </si>
  <si>
    <t>Participant 73</t>
  </si>
  <si>
    <t>Participant73@example.com</t>
  </si>
  <si>
    <t>555-0073</t>
  </si>
  <si>
    <t>A074</t>
  </si>
  <si>
    <t>Participant 74</t>
  </si>
  <si>
    <t>Participant74@example.com</t>
  </si>
  <si>
    <t>555-0074</t>
  </si>
  <si>
    <t>A075</t>
  </si>
  <si>
    <t>Participant 75</t>
  </si>
  <si>
    <t>Participant75@example.com</t>
  </si>
  <si>
    <t>555-0075</t>
  </si>
  <si>
    <t>A076</t>
  </si>
  <si>
    <t>Participant 76</t>
  </si>
  <si>
    <t>Participant76@example.com</t>
  </si>
  <si>
    <t>555-0076</t>
  </si>
  <si>
    <t>A077</t>
  </si>
  <si>
    <t>Participant 77</t>
  </si>
  <si>
    <t>Participant77@example.com</t>
  </si>
  <si>
    <t>555-0077</t>
  </si>
  <si>
    <t>A078</t>
  </si>
  <si>
    <t>Participant 78</t>
  </si>
  <si>
    <t>Participant78@example.com</t>
  </si>
  <si>
    <t>555-0078</t>
  </si>
  <si>
    <t>A079</t>
  </si>
  <si>
    <t>Participant 79</t>
  </si>
  <si>
    <t>Participant79@example.com</t>
  </si>
  <si>
    <t>555-0079</t>
  </si>
  <si>
    <t>A080</t>
  </si>
  <si>
    <t>Participant 80</t>
  </si>
  <si>
    <t>Participant80@example.com</t>
  </si>
  <si>
    <t>555-0080</t>
  </si>
  <si>
    <t>A081</t>
  </si>
  <si>
    <t>Participant 81</t>
  </si>
  <si>
    <t>Participant81@example.com</t>
  </si>
  <si>
    <t>555-0081</t>
  </si>
  <si>
    <t>A082</t>
  </si>
  <si>
    <t>Participant 82</t>
  </si>
  <si>
    <t>Participant82@example.com</t>
  </si>
  <si>
    <t>555-0082</t>
  </si>
  <si>
    <t>A083</t>
  </si>
  <si>
    <t>Participant 83</t>
  </si>
  <si>
    <t>Participant83@example.com</t>
  </si>
  <si>
    <t>555-0083</t>
  </si>
  <si>
    <t>A084</t>
  </si>
  <si>
    <t>Participant 84</t>
  </si>
  <si>
    <t>Participant84@example.com</t>
  </si>
  <si>
    <t>555-0084</t>
  </si>
  <si>
    <t>A085</t>
  </si>
  <si>
    <t>Participant 85</t>
  </si>
  <si>
    <t>Participant85@example.com</t>
  </si>
  <si>
    <t>555-0085</t>
  </si>
  <si>
    <t>A086</t>
  </si>
  <si>
    <t>Participant 86</t>
  </si>
  <si>
    <t>Participant86@example.com</t>
  </si>
  <si>
    <t>555-0086</t>
  </si>
  <si>
    <t>A087</t>
  </si>
  <si>
    <t>Participant 87</t>
  </si>
  <si>
    <t>Participant87@example.com</t>
  </si>
  <si>
    <t>555-0087</t>
  </si>
  <si>
    <t>A088</t>
  </si>
  <si>
    <t>Participant 88</t>
  </si>
  <si>
    <t>Participant88@example.com</t>
  </si>
  <si>
    <t>555-0088</t>
  </si>
  <si>
    <t>A089</t>
  </si>
  <si>
    <t>Participant 89</t>
  </si>
  <si>
    <t>Participant89@example.com</t>
  </si>
  <si>
    <t>555-0089</t>
  </si>
  <si>
    <t>A090</t>
  </si>
  <si>
    <t>Participant 90</t>
  </si>
  <si>
    <t>Participant90@example.com</t>
  </si>
  <si>
    <t>555-0090</t>
  </si>
  <si>
    <t>A091</t>
  </si>
  <si>
    <t>Participant 91</t>
  </si>
  <si>
    <t>Participant91@example.com</t>
  </si>
  <si>
    <t>555-0091</t>
  </si>
  <si>
    <t>A092</t>
  </si>
  <si>
    <t>Participant 92</t>
  </si>
  <si>
    <t>Participant92@example.com</t>
  </si>
  <si>
    <t>555-0092</t>
  </si>
  <si>
    <t>A093</t>
  </si>
  <si>
    <t>Participant 93</t>
  </si>
  <si>
    <t>Participant93@example.com</t>
  </si>
  <si>
    <t>555-0093</t>
  </si>
  <si>
    <t>A094</t>
  </si>
  <si>
    <t>Participant 94</t>
  </si>
  <si>
    <t>Participant94@example.com</t>
  </si>
  <si>
    <t>555-0094</t>
  </si>
  <si>
    <t>A095</t>
  </si>
  <si>
    <t>Participant 95</t>
  </si>
  <si>
    <t>Participant95@example.com</t>
  </si>
  <si>
    <t>555-0095</t>
  </si>
  <si>
    <t>A096</t>
  </si>
  <si>
    <t>Participant 96</t>
  </si>
  <si>
    <t>Participant96@example.com</t>
  </si>
  <si>
    <t>555-0096</t>
  </si>
  <si>
    <t>A097</t>
  </si>
  <si>
    <t>Participant 97</t>
  </si>
  <si>
    <t>Participant97@example.com</t>
  </si>
  <si>
    <t>555-0097</t>
  </si>
  <si>
    <t>A098</t>
  </si>
  <si>
    <t>Participant 98</t>
  </si>
  <si>
    <t>Participant98@example.com</t>
  </si>
  <si>
    <t>555-0098</t>
  </si>
  <si>
    <t>A099</t>
  </si>
  <si>
    <t>Participant 99</t>
  </si>
  <si>
    <t>Participant99@example.com</t>
  </si>
  <si>
    <t>555-0099</t>
  </si>
  <si>
    <t>A100</t>
  </si>
  <si>
    <t>Participant 100</t>
  </si>
  <si>
    <t>Participant100@example.com</t>
  </si>
  <si>
    <t>555-0100</t>
  </si>
  <si>
    <t>Target profit</t>
  </si>
  <si>
    <t>Marketing costs</t>
  </si>
  <si>
    <t>Operational costs</t>
  </si>
  <si>
    <t>ID</t>
  </si>
  <si>
    <t>Preferences</t>
  </si>
  <si>
    <t>Ticket Price</t>
  </si>
  <si>
    <t>Attendance</t>
  </si>
  <si>
    <t>Dietary Preference</t>
  </si>
  <si>
    <t>Marketing</t>
  </si>
  <si>
    <t>Vegetarian</t>
  </si>
  <si>
    <t>Ed</t>
  </si>
  <si>
    <t>ed@gmail.com</t>
  </si>
  <si>
    <t>Grand Total</t>
  </si>
  <si>
    <t>Sum of Ticket Price (€)</t>
  </si>
  <si>
    <t>Row Labels</t>
  </si>
  <si>
    <t>2022</t>
  </si>
  <si>
    <t>2023</t>
  </si>
  <si>
    <t>2024</t>
  </si>
  <si>
    <t>Nov</t>
  </si>
  <si>
    <t>Dec</t>
  </si>
  <si>
    <t>Jan</t>
  </si>
  <si>
    <t>Feb</t>
  </si>
  <si>
    <t>Mar</t>
  </si>
  <si>
    <t>Apr</t>
  </si>
  <si>
    <t>May</t>
  </si>
  <si>
    <t>Jun</t>
  </si>
  <si>
    <t>Jul</t>
  </si>
  <si>
    <t>Aug</t>
  </si>
  <si>
    <t>Sep</t>
  </si>
  <si>
    <t>Oct</t>
  </si>
  <si>
    <t>Column Labels</t>
  </si>
  <si>
    <t>Future date month</t>
  </si>
  <si>
    <t>Future sale (€)</t>
  </si>
  <si>
    <t>Qtr4</t>
  </si>
  <si>
    <t>Qtr1</t>
  </si>
  <si>
    <t>Qtr2</t>
  </si>
  <si>
    <t>Qtr3</t>
  </si>
  <si>
    <t>Month</t>
  </si>
  <si>
    <t>Count of ID</t>
  </si>
  <si>
    <t>Average Ticket Price</t>
  </si>
  <si>
    <t xml:space="preserve">attendance </t>
  </si>
  <si>
    <t>Future attendance</t>
  </si>
  <si>
    <t>Forecasted revenue (€)</t>
  </si>
  <si>
    <t>Predicted Attendance</t>
  </si>
  <si>
    <t>Forecasted Revenue</t>
  </si>
  <si>
    <t>Bob</t>
  </si>
  <si>
    <t>bob@gmail.com</t>
  </si>
  <si>
    <t>Technology</t>
  </si>
  <si>
    <t>Cat</t>
  </si>
  <si>
    <t>Dog</t>
  </si>
  <si>
    <t>Fly</t>
  </si>
  <si>
    <t>Eagle</t>
  </si>
  <si>
    <t>cat@gmail.com</t>
  </si>
  <si>
    <t>dog@gmail.com</t>
  </si>
  <si>
    <t>Data</t>
  </si>
  <si>
    <t>AI</t>
  </si>
  <si>
    <t>eagle@gmail.com</t>
  </si>
  <si>
    <t>fly@gmail.com</t>
  </si>
  <si>
    <t>Cyber</t>
  </si>
  <si>
    <t>Meat</t>
  </si>
  <si>
    <t>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</si>
</sst>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quot;£&quot;* #,##0.00_-;\-&quot;£&quot;* #,##0.00_-;_-&quot;£&quot;* &quot;-&quot;??_-;_-@_-"/>
    <numFmt numFmtId="165" formatCode="&quot;£&quot;#,##0.00"/>
    <numFmt numFmtId="166" formatCode="[$-F800]dddd\,\ mmmm\ dd\,\ yyyy"/>
    <numFmt numFmtId="167" formatCode="&quot;£&quot;#,##0"/>
    <numFmt numFmtId="168" formatCode="_-&quot;£&quot;* #,##0_-;\-&quot;£&quot;* #,##0_-;_-&quot;£&quot;* &quot;-&quot;??_-;_-@_-"/>
    <numFmt numFmtId="169" formatCode="_-[$£-809]* #,##0.00_-;\-[$£-809]* #,##0.00_-;_-[$£-809]* &quot;-&quot;??_-;_-@_-"/>
  </numFmts>
  <fonts count="17">
    <font>
      <sz val="11"/>
      <color theme="1"/>
      <name val="Calibri"/>
      <scheme val="minor"/>
    </font>
    <font>
      <b/>
      <sz val="11"/>
      <color theme="1"/>
      <name val="Calibri"/>
      <family val="2"/>
      <charset val="238"/>
    </font>
    <font>
      <sz val="11"/>
      <color theme="1"/>
      <name val="Calibri"/>
      <family val="2"/>
      <charset val="238"/>
      <scheme val="minor"/>
    </font>
    <font>
      <sz val="11"/>
      <color theme="1"/>
      <name val="Calibri"/>
      <family val="2"/>
      <charset val="238"/>
    </font>
    <font>
      <sz val="11"/>
      <color theme="1"/>
      <name val="Calibri"/>
      <family val="2"/>
      <charset val="238"/>
      <scheme val="minor"/>
    </font>
    <font>
      <sz val="14"/>
      <color theme="1"/>
      <name val="Calibri"/>
      <family val="2"/>
      <scheme val="minor"/>
    </font>
    <font>
      <sz val="16"/>
      <color theme="1"/>
      <name val="Calibri"/>
      <family val="2"/>
      <scheme val="minor"/>
    </font>
    <font>
      <sz val="16"/>
      <color theme="1"/>
      <name val="Calibri"/>
      <family val="2"/>
    </font>
    <font>
      <b/>
      <sz val="16"/>
      <color theme="1"/>
      <name val="Calibri"/>
      <family val="2"/>
      <scheme val="major"/>
    </font>
    <font>
      <b/>
      <sz val="16"/>
      <name val="Calibri"/>
      <family val="2"/>
      <scheme val="major"/>
    </font>
    <font>
      <b/>
      <sz val="16"/>
      <color theme="1"/>
      <name val="Calibri"/>
      <family val="2"/>
      <scheme val="minor"/>
    </font>
    <font>
      <b/>
      <u/>
      <sz val="22"/>
      <color rgb="FF0000FF"/>
      <name val="Calibri"/>
      <family val="2"/>
    </font>
    <font>
      <sz val="16"/>
      <color theme="1"/>
      <name val="Calibri"/>
      <family val="2"/>
      <charset val="238"/>
      <scheme val="minor"/>
    </font>
    <font>
      <sz val="14"/>
      <color theme="1"/>
      <name val="Calibri"/>
      <family val="2"/>
      <charset val="238"/>
    </font>
    <font>
      <sz val="14"/>
      <color rgb="FF1F1F1F"/>
      <name val="Source Sans Pro"/>
      <family val="2"/>
    </font>
    <font>
      <b/>
      <sz val="16"/>
      <color theme="1"/>
      <name val="Calibri"/>
      <family val="2"/>
      <charset val="238"/>
      <scheme val="minor"/>
    </font>
    <font>
      <b/>
      <sz val="14"/>
      <color theme="1"/>
      <name val="Calibri"/>
      <family val="2"/>
      <charset val="238"/>
      <scheme val="minor"/>
    </font>
  </fonts>
  <fills count="4">
    <fill>
      <patternFill patternType="none"/>
    </fill>
    <fill>
      <patternFill patternType="gray125"/>
    </fill>
    <fill>
      <patternFill patternType="solid">
        <fgColor rgb="FF92D050"/>
        <bgColor indexed="64"/>
      </patternFill>
    </fill>
    <fill>
      <patternFill patternType="solid">
        <fgColor rgb="FF92D050"/>
        <bgColor theme="4" tint="0.79998168889431442"/>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right/>
      <top/>
      <bottom style="thin">
        <color theme="4" tint="0.39997558519241921"/>
      </bottom>
      <diagonal/>
    </border>
  </borders>
  <cellStyleXfs count="2">
    <xf numFmtId="0" fontId="0" fillId="0" borderId="0"/>
    <xf numFmtId="164" fontId="4" fillId="0" borderId="0" applyFont="0" applyFill="0" applyBorder="0" applyAlignment="0" applyProtection="0"/>
  </cellStyleXfs>
  <cellXfs count="45">
    <xf numFmtId="0" fontId="0" fillId="0" borderId="0" xfId="0"/>
    <xf numFmtId="0" fontId="2" fillId="0" borderId="0" xfId="0" applyFont="1"/>
    <xf numFmtId="0" fontId="0" fillId="0" borderId="0" xfId="0" pivotButton="1"/>
    <xf numFmtId="14" fontId="3" fillId="0" borderId="0" xfId="0" applyNumberFormat="1" applyFont="1"/>
    <xf numFmtId="165" fontId="2" fillId="0" borderId="0" xfId="0" applyNumberFormat="1" applyFont="1"/>
    <xf numFmtId="165" fontId="0" fillId="0" borderId="0" xfId="0" applyNumberFormat="1"/>
    <xf numFmtId="166" fontId="3" fillId="0" borderId="0" xfId="0" applyNumberFormat="1" applyFont="1"/>
    <xf numFmtId="166" fontId="0" fillId="0" borderId="0" xfId="0" applyNumberFormat="1"/>
    <xf numFmtId="0" fontId="1" fillId="0" borderId="2" xfId="0" applyFont="1" applyBorder="1" applyAlignment="1">
      <alignment horizontal="center" vertical="top"/>
    </xf>
    <xf numFmtId="165" fontId="1" fillId="0" borderId="2" xfId="0" applyNumberFormat="1" applyFont="1" applyBorder="1" applyAlignment="1">
      <alignment horizontal="center" vertical="top"/>
    </xf>
    <xf numFmtId="166" fontId="1" fillId="0" borderId="2" xfId="0" applyNumberFormat="1" applyFont="1" applyBorder="1" applyAlignment="1">
      <alignment horizontal="center" vertical="top"/>
    </xf>
    <xf numFmtId="0" fontId="0" fillId="0" borderId="0" xfId="0" applyAlignment="1">
      <alignment horizontal="left"/>
    </xf>
    <xf numFmtId="167" fontId="0" fillId="0" borderId="0" xfId="0" applyNumberFormat="1"/>
    <xf numFmtId="0" fontId="0" fillId="0" borderId="0" xfId="0" applyAlignment="1">
      <alignment horizontal="left" indent="1"/>
    </xf>
    <xf numFmtId="0" fontId="5" fillId="0" borderId="0" xfId="0" applyFont="1"/>
    <xf numFmtId="1" fontId="5" fillId="0" borderId="0" xfId="0" applyNumberFormat="1" applyFont="1"/>
    <xf numFmtId="0" fontId="6" fillId="0" borderId="0" xfId="0" applyFont="1"/>
    <xf numFmtId="0" fontId="7" fillId="0" borderId="0" xfId="0" applyFont="1"/>
    <xf numFmtId="0" fontId="8" fillId="0" borderId="0" xfId="0" applyFont="1"/>
    <xf numFmtId="168" fontId="6" fillId="0" borderId="0" xfId="1" applyNumberFormat="1" applyFont="1"/>
    <xf numFmtId="1" fontId="6" fillId="0" borderId="0" xfId="0" applyNumberFormat="1" applyFont="1"/>
    <xf numFmtId="0" fontId="9" fillId="0" borderId="0" xfId="0" applyFont="1"/>
    <xf numFmtId="0" fontId="12" fillId="0" borderId="1" xfId="0" applyFont="1" applyBorder="1"/>
    <xf numFmtId="14" fontId="12" fillId="0" borderId="1" xfId="0" applyNumberFormat="1" applyFont="1" applyBorder="1"/>
    <xf numFmtId="169" fontId="6" fillId="0" borderId="0" xfId="1" applyNumberFormat="1" applyFont="1"/>
    <xf numFmtId="165" fontId="6" fillId="0" borderId="0" xfId="0" applyNumberFormat="1" applyFont="1"/>
    <xf numFmtId="14" fontId="13" fillId="0" borderId="0" xfId="0" applyNumberFormat="1" applyFont="1"/>
    <xf numFmtId="167" fontId="5" fillId="0" borderId="0" xfId="0" applyNumberFormat="1" applyFont="1"/>
    <xf numFmtId="165" fontId="5" fillId="0" borderId="0" xfId="0" applyNumberFormat="1" applyFont="1"/>
    <xf numFmtId="0" fontId="14" fillId="0" borderId="0" xfId="0" applyFont="1"/>
    <xf numFmtId="0" fontId="8" fillId="2" borderId="0" xfId="0" applyFont="1" applyFill="1"/>
    <xf numFmtId="169" fontId="10" fillId="2" borderId="0" xfId="1" applyNumberFormat="1" applyFont="1" applyFill="1"/>
    <xf numFmtId="0" fontId="15" fillId="2" borderId="1" xfId="0" applyFont="1" applyFill="1" applyBorder="1"/>
    <xf numFmtId="0" fontId="16" fillId="2" borderId="0" xfId="0" applyFont="1" applyFill="1"/>
    <xf numFmtId="167" fontId="16" fillId="2" borderId="0" xfId="0" applyNumberFormat="1" applyFont="1" applyFill="1"/>
    <xf numFmtId="14" fontId="6" fillId="0" borderId="0" xfId="0" applyNumberFormat="1" applyFont="1"/>
    <xf numFmtId="165" fontId="10" fillId="0" borderId="3" xfId="0" applyNumberFormat="1" applyFont="1" applyBorder="1"/>
    <xf numFmtId="0" fontId="6" fillId="0" borderId="0" xfId="0" applyFont="1" applyAlignment="1">
      <alignment horizontal="left"/>
    </xf>
    <xf numFmtId="0" fontId="6" fillId="0" borderId="0" xfId="0" applyFont="1" applyAlignment="1">
      <alignment horizontal="left" indent="1"/>
    </xf>
    <xf numFmtId="0" fontId="6" fillId="0" borderId="0" xfId="0" applyNumberFormat="1" applyFont="1"/>
    <xf numFmtId="0" fontId="6" fillId="2" borderId="0" xfId="0" applyFont="1" applyFill="1"/>
    <xf numFmtId="165" fontId="6" fillId="2" borderId="0" xfId="0" applyNumberFormat="1" applyFont="1" applyFill="1"/>
    <xf numFmtId="0" fontId="6" fillId="2" borderId="0" xfId="0" applyFont="1" applyFill="1" applyAlignment="1">
      <alignment horizontal="left"/>
    </xf>
    <xf numFmtId="0" fontId="6" fillId="2" borderId="0" xfId="0" applyNumberFormat="1" applyFont="1" applyFill="1"/>
    <xf numFmtId="0" fontId="10" fillId="3" borderId="3" xfId="0" applyFont="1" applyFill="1" applyBorder="1"/>
  </cellXfs>
  <cellStyles count="2">
    <cellStyle name="Currency" xfId="1" builtinId="4"/>
    <cellStyle name="Normal" xfId="0" builtinId="0"/>
  </cellStyles>
  <dxfs count="213">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none"/>
      </font>
      <numFmt numFmtId="166" formatCode="[$-F800]dddd\,\ mmmm\ dd\,\ yyyy"/>
    </dxf>
    <dxf>
      <font>
        <b val="0"/>
        <i val="0"/>
        <strike val="0"/>
        <condense val="0"/>
        <extend val="0"/>
        <outline val="0"/>
        <shadow val="0"/>
        <u val="none"/>
        <vertAlign val="baseline"/>
        <sz val="11"/>
        <color theme="1"/>
        <name val="Calibri"/>
        <scheme val="minor"/>
      </font>
      <numFmt numFmtId="165" formatCode="&quot;£&quot;#,##0.00"/>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border outline="0">
        <top style="thin">
          <color rgb="FF000000"/>
        </top>
      </border>
    </dxf>
    <dxf>
      <font>
        <b val="0"/>
        <i val="0"/>
        <strike val="0"/>
        <condense val="0"/>
        <extend val="0"/>
        <outline val="0"/>
        <shadow val="0"/>
        <u val="none"/>
        <vertAlign val="baseline"/>
        <sz val="11"/>
        <color theme="1"/>
        <name val="Calibri"/>
        <scheme val="minor"/>
      </font>
    </dxf>
    <dxf>
      <border outline="0">
        <bottom style="thin">
          <color rgb="FF000000"/>
        </bottom>
      </border>
    </dxf>
    <dxf>
      <font>
        <b/>
        <i val="0"/>
        <strike val="0"/>
        <condense val="0"/>
        <extend val="0"/>
        <outline val="0"/>
        <shadow val="0"/>
        <u val="none"/>
        <vertAlign val="baseline"/>
        <sz val="11"/>
        <color theme="1"/>
        <name val="Calibri"/>
        <scheme val="none"/>
      </font>
      <numFmt numFmtId="0" formatCode="General"/>
      <alignment horizontal="center" vertical="top" textRotation="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[Conference Form Updated - Copy.xlsm]Pivots!PivotTable19</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l-PL"/>
              <a:t>Online vs. In-Person</a:t>
            </a:r>
            <a:endParaRPr lang="en-US"/>
          </a:p>
        </c:rich>
      </c:tx>
      <c:layout>
        <c:manualLayout>
          <c:xMode val="edge"/>
          <c:yMode val="edge"/>
          <c:x val="0.23149580269408473"/>
          <c:y val="5.5680539932508469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3610979987703049"/>
          <c:y val="0.18956354682468815"/>
          <c:w val="0.58187355257063456"/>
          <c:h val="0.67985226073544935"/>
        </c:manualLayout>
      </c:layout>
      <c:pieChart>
        <c:varyColors val="1"/>
        <c:ser>
          <c:idx val="0"/>
          <c:order val="0"/>
          <c:tx>
            <c:strRef>
              <c:f>Pivots!$H$19</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F63-4A53-92FF-FA91ABB9AA4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F63-4A53-92FF-FA91ABB9AA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Pivots!$G$20:$G$22</c:f>
              <c:strCache>
                <c:ptCount val="2"/>
                <c:pt idx="0">
                  <c:v>In-Person</c:v>
                </c:pt>
                <c:pt idx="1">
                  <c:v>Online</c:v>
                </c:pt>
              </c:strCache>
            </c:strRef>
          </c:cat>
          <c:val>
            <c:numRef>
              <c:f>Pivots!$H$20:$H$22</c:f>
              <c:numCache>
                <c:formatCode>General</c:formatCode>
                <c:ptCount val="2"/>
                <c:pt idx="0">
                  <c:v>50</c:v>
                </c:pt>
                <c:pt idx="1">
                  <c:v>50</c:v>
                </c:pt>
              </c:numCache>
            </c:numRef>
          </c:val>
          <c:extLst>
            <c:ext xmlns:c16="http://schemas.microsoft.com/office/drawing/2014/chart" uri="{C3380CC4-5D6E-409C-BE32-E72D297353CC}">
              <c16:uniqueId val="{00000004-C4BD-4937-88B2-1502BB848B52}"/>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[Conference Form Updated - Copy.xlsm]Pivots!PivotTable17</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2.0618556701030927E-2"/>
          <c:y val="2.0482202121429031E-2"/>
          <c:w val="0.9602047649971589"/>
          <c:h val="0.55344634606624588"/>
        </c:manualLayout>
      </c:layout>
      <c:barChart>
        <c:barDir val="col"/>
        <c:grouping val="clustered"/>
        <c:varyColors val="0"/>
        <c:ser>
          <c:idx val="0"/>
          <c:order val="0"/>
          <c:tx>
            <c:strRef>
              <c:f>Pivots!$E$3:$E$4</c:f>
              <c:strCache>
                <c:ptCount val="1"/>
                <c:pt idx="0">
                  <c:v>Artificial Intelligence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Pivots!$D$5:$D$17</c:f>
              <c:multiLvlStrCache>
                <c:ptCount val="9"/>
                <c:lvl>
                  <c:pt idx="0">
                    <c:v>Qtr4</c:v>
                  </c:pt>
                  <c:pt idx="1">
                    <c:v>Qtr1</c:v>
                  </c:pt>
                  <c:pt idx="2">
                    <c:v>Qtr2</c:v>
                  </c:pt>
                  <c:pt idx="3">
                    <c:v>Qtr3</c:v>
                  </c:pt>
                  <c:pt idx="4">
                    <c:v>Qtr4</c:v>
                  </c:pt>
                  <c:pt idx="5">
                    <c:v>Qtr1</c:v>
                  </c:pt>
                  <c:pt idx="6">
                    <c:v>Qtr2</c:v>
                  </c:pt>
                  <c:pt idx="7">
                    <c:v>Qtr3</c:v>
                  </c:pt>
                  <c:pt idx="8">
                    <c:v>Qtr4</c:v>
                  </c:pt>
                </c:lvl>
                <c:lvl>
                  <c:pt idx="0">
                    <c:v>2022</c:v>
                  </c:pt>
                  <c:pt idx="1">
                    <c:v>2023</c:v>
                  </c:pt>
                  <c:pt idx="5">
                    <c:v>2024</c:v>
                  </c:pt>
                </c:lvl>
              </c:multiLvlStrCache>
            </c:multiLvlStrRef>
          </c:cat>
          <c:val>
            <c:numRef>
              <c:f>Pivots!$E$5:$E$17</c:f>
              <c:numCache>
                <c:formatCode>General</c:formatCode>
                <c:ptCount val="9"/>
                <c:pt idx="0">
                  <c:v>1</c:v>
                </c:pt>
                <c:pt idx="1">
                  <c:v>4</c:v>
                </c:pt>
                <c:pt idx="2">
                  <c:v>4</c:v>
                </c:pt>
                <c:pt idx="3">
                  <c:v>4</c:v>
                </c:pt>
                <c:pt idx="4">
                  <c:v>2</c:v>
                </c:pt>
                <c:pt idx="5">
                  <c:v>7</c:v>
                </c:pt>
                <c:pt idx="6">
                  <c:v>4</c:v>
                </c:pt>
                <c:pt idx="7">
                  <c:v>4</c:v>
                </c:pt>
                <c:pt idx="8">
                  <c:v>3</c:v>
                </c:pt>
              </c:numCache>
            </c:numRef>
          </c:val>
          <c:extLst>
            <c:ext xmlns:c16="http://schemas.microsoft.com/office/drawing/2014/chart" uri="{C3380CC4-5D6E-409C-BE32-E72D297353CC}">
              <c16:uniqueId val="{00000000-F9E9-4564-AF7B-EED21D2059BC}"/>
            </c:ext>
          </c:extLst>
        </c:ser>
        <c:ser>
          <c:idx val="1"/>
          <c:order val="1"/>
          <c:tx>
            <c:strRef>
              <c:f>Pivots!$F$3:$F$4</c:f>
              <c:strCache>
                <c:ptCount val="1"/>
                <c:pt idx="0">
                  <c:v>Cybersecurity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Pivots!$D$5:$D$17</c:f>
              <c:multiLvlStrCache>
                <c:ptCount val="9"/>
                <c:lvl>
                  <c:pt idx="0">
                    <c:v>Qtr4</c:v>
                  </c:pt>
                  <c:pt idx="1">
                    <c:v>Qtr1</c:v>
                  </c:pt>
                  <c:pt idx="2">
                    <c:v>Qtr2</c:v>
                  </c:pt>
                  <c:pt idx="3">
                    <c:v>Qtr3</c:v>
                  </c:pt>
                  <c:pt idx="4">
                    <c:v>Qtr4</c:v>
                  </c:pt>
                  <c:pt idx="5">
                    <c:v>Qtr1</c:v>
                  </c:pt>
                  <c:pt idx="6">
                    <c:v>Qtr2</c:v>
                  </c:pt>
                  <c:pt idx="7">
                    <c:v>Qtr3</c:v>
                  </c:pt>
                  <c:pt idx="8">
                    <c:v>Qtr4</c:v>
                  </c:pt>
                </c:lvl>
                <c:lvl>
                  <c:pt idx="0">
                    <c:v>2022</c:v>
                  </c:pt>
                  <c:pt idx="1">
                    <c:v>2023</c:v>
                  </c:pt>
                  <c:pt idx="5">
                    <c:v>2024</c:v>
                  </c:pt>
                </c:lvl>
              </c:multiLvlStrCache>
            </c:multiLvlStrRef>
          </c:cat>
          <c:val>
            <c:numRef>
              <c:f>Pivots!$F$5:$F$17</c:f>
              <c:numCache>
                <c:formatCode>General</c:formatCode>
                <c:ptCount val="9"/>
                <c:pt idx="0">
                  <c:v>1</c:v>
                </c:pt>
                <c:pt idx="1">
                  <c:v>4</c:v>
                </c:pt>
                <c:pt idx="2">
                  <c:v>4</c:v>
                </c:pt>
                <c:pt idx="3">
                  <c:v>3</c:v>
                </c:pt>
                <c:pt idx="4">
                  <c:v>3</c:v>
                </c:pt>
                <c:pt idx="5">
                  <c:v>7</c:v>
                </c:pt>
                <c:pt idx="6">
                  <c:v>4</c:v>
                </c:pt>
                <c:pt idx="7">
                  <c:v>4</c:v>
                </c:pt>
                <c:pt idx="8">
                  <c:v>3</c:v>
                </c:pt>
              </c:numCache>
            </c:numRef>
          </c:val>
          <c:extLst>
            <c:ext xmlns:c16="http://schemas.microsoft.com/office/drawing/2014/chart" uri="{C3380CC4-5D6E-409C-BE32-E72D297353CC}">
              <c16:uniqueId val="{00000004-F9E9-4564-AF7B-EED21D2059BC}"/>
            </c:ext>
          </c:extLst>
        </c:ser>
        <c:ser>
          <c:idx val="2"/>
          <c:order val="2"/>
          <c:tx>
            <c:strRef>
              <c:f>Pivots!$G$3:$G$4</c:f>
              <c:strCache>
                <c:ptCount val="1"/>
                <c:pt idx="0">
                  <c:v>Data Analytics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Pivots!$D$5:$D$17</c:f>
              <c:multiLvlStrCache>
                <c:ptCount val="9"/>
                <c:lvl>
                  <c:pt idx="0">
                    <c:v>Qtr4</c:v>
                  </c:pt>
                  <c:pt idx="1">
                    <c:v>Qtr1</c:v>
                  </c:pt>
                  <c:pt idx="2">
                    <c:v>Qtr2</c:v>
                  </c:pt>
                  <c:pt idx="3">
                    <c:v>Qtr3</c:v>
                  </c:pt>
                  <c:pt idx="4">
                    <c:v>Qtr4</c:v>
                  </c:pt>
                  <c:pt idx="5">
                    <c:v>Qtr1</c:v>
                  </c:pt>
                  <c:pt idx="6">
                    <c:v>Qtr2</c:v>
                  </c:pt>
                  <c:pt idx="7">
                    <c:v>Qtr3</c:v>
                  </c:pt>
                  <c:pt idx="8">
                    <c:v>Qtr4</c:v>
                  </c:pt>
                </c:lvl>
                <c:lvl>
                  <c:pt idx="0">
                    <c:v>2022</c:v>
                  </c:pt>
                  <c:pt idx="1">
                    <c:v>2023</c:v>
                  </c:pt>
                  <c:pt idx="5">
                    <c:v>2024</c:v>
                  </c:pt>
                </c:lvl>
              </c:multiLvlStrCache>
            </c:multiLvlStrRef>
          </c:cat>
          <c:val>
            <c:numRef>
              <c:f>Pivots!$G$5:$G$17</c:f>
              <c:numCache>
                <c:formatCode>General</c:formatCode>
                <c:ptCount val="9"/>
                <c:pt idx="0">
                  <c:v>3</c:v>
                </c:pt>
                <c:pt idx="1">
                  <c:v>4</c:v>
                </c:pt>
                <c:pt idx="2">
                  <c:v>3</c:v>
                </c:pt>
                <c:pt idx="3">
                  <c:v>4</c:v>
                </c:pt>
                <c:pt idx="4">
                  <c:v>3</c:v>
                </c:pt>
                <c:pt idx="5">
                  <c:v>7</c:v>
                </c:pt>
                <c:pt idx="6">
                  <c:v>4</c:v>
                </c:pt>
                <c:pt idx="7">
                  <c:v>4</c:v>
                </c:pt>
                <c:pt idx="8">
                  <c:v>2</c:v>
                </c:pt>
              </c:numCache>
            </c:numRef>
          </c:val>
          <c:extLst>
            <c:ext xmlns:c16="http://schemas.microsoft.com/office/drawing/2014/chart" uri="{C3380CC4-5D6E-409C-BE32-E72D297353CC}">
              <c16:uniqueId val="{00000005-F9E9-4564-AF7B-EED21D2059BC}"/>
            </c:ext>
          </c:extLst>
        </c:ser>
        <c:dLbls>
          <c:showLegendKey val="0"/>
          <c:showVal val="1"/>
          <c:showCatName val="0"/>
          <c:showSerName val="0"/>
          <c:showPercent val="0"/>
          <c:showBubbleSize val="0"/>
        </c:dLbls>
        <c:gapWidth val="65"/>
        <c:axId val="100582368"/>
        <c:axId val="100578048"/>
      </c:barChart>
      <c:catAx>
        <c:axId val="10058236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578048"/>
        <c:crosses val="autoZero"/>
        <c:auto val="1"/>
        <c:lblAlgn val="ctr"/>
        <c:lblOffset val="100"/>
        <c:noMultiLvlLbl val="0"/>
      </c:catAx>
      <c:valAx>
        <c:axId val="1005780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582368"/>
        <c:crosses val="autoZero"/>
        <c:crossBetween val="between"/>
      </c:valAx>
      <c:spPr>
        <a:noFill/>
        <a:ln>
          <a:noFill/>
        </a:ln>
        <a:effectLst/>
      </c:spPr>
    </c:plotArea>
    <c:legend>
      <c:legendPos val="r"/>
      <c:layout>
        <c:manualLayout>
          <c:xMode val="edge"/>
          <c:yMode val="edge"/>
          <c:x val="0.61484394025489086"/>
          <c:y val="0.71920446411140759"/>
          <c:w val="0.23795640879941554"/>
          <c:h val="0.269235049131255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[Conference Form Updated - Copy.xlsm]Pivots!PivotTable16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s>
    <c:plotArea>
      <c:layout/>
      <c:lineChart>
        <c:grouping val="standard"/>
        <c:varyColors val="0"/>
        <c:ser>
          <c:idx val="0"/>
          <c:order val="0"/>
          <c:tx>
            <c:strRef>
              <c:f>Pivots!$B$3</c:f>
              <c:strCache>
                <c:ptCount val="1"/>
                <c:pt idx="0">
                  <c:v>Sum of Ticket Price (€)</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multiLvlStrRef>
              <c:f>Pivots!$A$4:$A$32</c:f>
              <c:multiLvlStrCache>
                <c:ptCount val="25"/>
                <c:lvl>
                  <c:pt idx="0">
                    <c:v>Nov</c:v>
                  </c:pt>
                  <c:pt idx="1">
                    <c:v>Dec</c:v>
                  </c:pt>
                  <c:pt idx="2">
                    <c:v>Jan</c:v>
                  </c:pt>
                  <c:pt idx="3">
                    <c:v>Feb</c:v>
                  </c:pt>
                  <c:pt idx="4">
                    <c:v>Mar</c:v>
                  </c:pt>
                  <c:pt idx="5">
                    <c:v>Apr</c:v>
                  </c:pt>
                  <c:pt idx="6">
                    <c:v>May</c:v>
                  </c:pt>
                  <c:pt idx="7">
                    <c:v>Jun</c:v>
                  </c:pt>
                  <c:pt idx="8">
                    <c:v>Jul</c:v>
                  </c:pt>
                  <c:pt idx="9">
                    <c:v>Aug</c:v>
                  </c:pt>
                  <c:pt idx="10">
                    <c:v>Sep</c:v>
                  </c:pt>
                  <c:pt idx="11">
                    <c:v>Oct</c:v>
                  </c:pt>
                  <c:pt idx="12">
                    <c:v>Nov</c:v>
                  </c:pt>
                  <c:pt idx="13">
                    <c:v>Dec</c:v>
                  </c:pt>
                  <c:pt idx="14">
                    <c:v>Jan</c:v>
                  </c:pt>
                  <c:pt idx="15">
                    <c:v>Feb</c:v>
                  </c:pt>
                  <c:pt idx="16">
                    <c:v>Mar</c:v>
                  </c:pt>
                  <c:pt idx="17">
                    <c:v>Apr</c:v>
                  </c:pt>
                  <c:pt idx="18">
                    <c:v>May</c:v>
                  </c:pt>
                  <c:pt idx="19">
                    <c:v>Jun</c:v>
                  </c:pt>
                  <c:pt idx="20">
                    <c:v>Jul</c:v>
                  </c:pt>
                  <c:pt idx="21">
                    <c:v>Aug</c:v>
                  </c:pt>
                  <c:pt idx="22">
                    <c:v>Sep</c:v>
                  </c:pt>
                  <c:pt idx="23">
                    <c:v>Oct</c:v>
                  </c:pt>
                  <c:pt idx="24">
                    <c:v>Nov</c:v>
                  </c:pt>
                </c:lvl>
                <c:lvl>
                  <c:pt idx="0">
                    <c:v>2022</c:v>
                  </c:pt>
                  <c:pt idx="2">
                    <c:v>2023</c:v>
                  </c:pt>
                  <c:pt idx="14">
                    <c:v>2024</c:v>
                  </c:pt>
                </c:lvl>
              </c:multiLvlStrCache>
            </c:multiLvlStrRef>
          </c:cat>
          <c:val>
            <c:numRef>
              <c:f>Pivots!$B$4:$B$32</c:f>
              <c:numCache>
                <c:formatCode>"£"#,##0.00</c:formatCode>
                <c:ptCount val="25"/>
                <c:pt idx="0">
                  <c:v>450</c:v>
                </c:pt>
                <c:pt idx="1">
                  <c:v>1900</c:v>
                </c:pt>
                <c:pt idx="2">
                  <c:v>1450</c:v>
                </c:pt>
                <c:pt idx="3">
                  <c:v>3900</c:v>
                </c:pt>
                <c:pt idx="4">
                  <c:v>450</c:v>
                </c:pt>
                <c:pt idx="5">
                  <c:v>2900</c:v>
                </c:pt>
                <c:pt idx="6">
                  <c:v>1450</c:v>
                </c:pt>
                <c:pt idx="7">
                  <c:v>1000</c:v>
                </c:pt>
                <c:pt idx="8">
                  <c:v>2600</c:v>
                </c:pt>
                <c:pt idx="9">
                  <c:v>1450</c:v>
                </c:pt>
                <c:pt idx="10">
                  <c:v>1450</c:v>
                </c:pt>
                <c:pt idx="11">
                  <c:v>1750</c:v>
                </c:pt>
                <c:pt idx="12">
                  <c:v>1150</c:v>
                </c:pt>
                <c:pt idx="13">
                  <c:v>750</c:v>
                </c:pt>
                <c:pt idx="14">
                  <c:v>3600</c:v>
                </c:pt>
                <c:pt idx="15">
                  <c:v>4350</c:v>
                </c:pt>
                <c:pt idx="16">
                  <c:v>2200</c:v>
                </c:pt>
                <c:pt idx="17">
                  <c:v>1450</c:v>
                </c:pt>
                <c:pt idx="18">
                  <c:v>1450</c:v>
                </c:pt>
                <c:pt idx="19">
                  <c:v>2900</c:v>
                </c:pt>
                <c:pt idx="20">
                  <c:v>1450</c:v>
                </c:pt>
                <c:pt idx="21">
                  <c:v>3600</c:v>
                </c:pt>
                <c:pt idx="22">
                  <c:v>750</c:v>
                </c:pt>
                <c:pt idx="23">
                  <c:v>2900</c:v>
                </c:pt>
                <c:pt idx="24">
                  <c:v>1000</c:v>
                </c:pt>
              </c:numCache>
            </c:numRef>
          </c:val>
          <c:smooth val="0"/>
          <c:extLst>
            <c:ext xmlns:c16="http://schemas.microsoft.com/office/drawing/2014/chart" uri="{C3380CC4-5D6E-409C-BE32-E72D297353CC}">
              <c16:uniqueId val="{00000000-A3F0-4C0D-8358-51BEC2B92EF8}"/>
            </c:ext>
          </c:extLst>
        </c:ser>
        <c:ser>
          <c:idx val="1"/>
          <c:order val="1"/>
          <c:tx>
            <c:strRef>
              <c:f>Pivots!$C$3</c:f>
              <c:strCache>
                <c:ptCount val="1"/>
                <c:pt idx="0">
                  <c:v>Count of ID</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multiLvlStrRef>
              <c:f>Pivots!$A$4:$A$32</c:f>
              <c:multiLvlStrCache>
                <c:ptCount val="25"/>
                <c:lvl>
                  <c:pt idx="0">
                    <c:v>Nov</c:v>
                  </c:pt>
                  <c:pt idx="1">
                    <c:v>Dec</c:v>
                  </c:pt>
                  <c:pt idx="2">
                    <c:v>Jan</c:v>
                  </c:pt>
                  <c:pt idx="3">
                    <c:v>Feb</c:v>
                  </c:pt>
                  <c:pt idx="4">
                    <c:v>Mar</c:v>
                  </c:pt>
                  <c:pt idx="5">
                    <c:v>Apr</c:v>
                  </c:pt>
                  <c:pt idx="6">
                    <c:v>May</c:v>
                  </c:pt>
                  <c:pt idx="7">
                    <c:v>Jun</c:v>
                  </c:pt>
                  <c:pt idx="8">
                    <c:v>Jul</c:v>
                  </c:pt>
                  <c:pt idx="9">
                    <c:v>Aug</c:v>
                  </c:pt>
                  <c:pt idx="10">
                    <c:v>Sep</c:v>
                  </c:pt>
                  <c:pt idx="11">
                    <c:v>Oct</c:v>
                  </c:pt>
                  <c:pt idx="12">
                    <c:v>Nov</c:v>
                  </c:pt>
                  <c:pt idx="13">
                    <c:v>Dec</c:v>
                  </c:pt>
                  <c:pt idx="14">
                    <c:v>Jan</c:v>
                  </c:pt>
                  <c:pt idx="15">
                    <c:v>Feb</c:v>
                  </c:pt>
                  <c:pt idx="16">
                    <c:v>Mar</c:v>
                  </c:pt>
                  <c:pt idx="17">
                    <c:v>Apr</c:v>
                  </c:pt>
                  <c:pt idx="18">
                    <c:v>May</c:v>
                  </c:pt>
                  <c:pt idx="19">
                    <c:v>Jun</c:v>
                  </c:pt>
                  <c:pt idx="20">
                    <c:v>Jul</c:v>
                  </c:pt>
                  <c:pt idx="21">
                    <c:v>Aug</c:v>
                  </c:pt>
                  <c:pt idx="22">
                    <c:v>Sep</c:v>
                  </c:pt>
                  <c:pt idx="23">
                    <c:v>Oct</c:v>
                  </c:pt>
                  <c:pt idx="24">
                    <c:v>Nov</c:v>
                  </c:pt>
                </c:lvl>
                <c:lvl>
                  <c:pt idx="0">
                    <c:v>2022</c:v>
                  </c:pt>
                  <c:pt idx="2">
                    <c:v>2023</c:v>
                  </c:pt>
                  <c:pt idx="14">
                    <c:v>2024</c:v>
                  </c:pt>
                </c:lvl>
              </c:multiLvlStrCache>
            </c:multiLvlStrRef>
          </c:cat>
          <c:val>
            <c:numRef>
              <c:f>Pivots!$C$4:$C$32</c:f>
              <c:numCache>
                <c:formatCode>General</c:formatCode>
                <c:ptCount val="25"/>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Cache>
            </c:numRef>
          </c:val>
          <c:smooth val="0"/>
          <c:extLst>
            <c:ext xmlns:c16="http://schemas.microsoft.com/office/drawing/2014/chart" uri="{C3380CC4-5D6E-409C-BE32-E72D297353CC}">
              <c16:uniqueId val="{00000000-9513-415A-B8E0-5F8D63239F82}"/>
            </c:ext>
          </c:extLst>
        </c:ser>
        <c:dLbls>
          <c:showLegendKey val="0"/>
          <c:showVal val="0"/>
          <c:showCatName val="0"/>
          <c:showSerName val="0"/>
          <c:showPercent val="0"/>
          <c:showBubbleSize val="0"/>
        </c:dLbls>
        <c:marker val="1"/>
        <c:smooth val="0"/>
        <c:axId val="100588608"/>
        <c:axId val="100594368"/>
      </c:lineChart>
      <c:catAx>
        <c:axId val="10058860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594368"/>
        <c:crosses val="autoZero"/>
        <c:auto val="1"/>
        <c:lblAlgn val="ctr"/>
        <c:lblOffset val="100"/>
        <c:noMultiLvlLbl val="0"/>
      </c:catAx>
      <c:valAx>
        <c:axId val="10059436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588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289560</xdr:colOff>
          <xdr:row>1</xdr:row>
          <xdr:rowOff>0</xdr:rowOff>
        </xdr:from>
        <xdr:to>
          <xdr:col>10</xdr:col>
          <xdr:colOff>373380</xdr:colOff>
          <xdr:row>3</xdr:row>
          <xdr:rowOff>15240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2200" b="1" i="0" u="sng" strike="noStrike" baseline="0">
                  <a:solidFill>
                    <a:srgbClr val="0000FF"/>
                  </a:solidFill>
                  <a:latin typeface="Calibri"/>
                  <a:cs typeface="Calibri"/>
                </a:rPr>
                <a:t>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345440</xdr:colOff>
      <xdr:row>0</xdr:row>
      <xdr:rowOff>58420</xdr:rowOff>
    </xdr:from>
    <xdr:to>
      <xdr:col>17</xdr:col>
      <xdr:colOff>180340</xdr:colOff>
      <xdr:row>34</xdr:row>
      <xdr:rowOff>140970</xdr:rowOff>
    </xdr:to>
    <xdr:sp macro="" textlink="">
      <xdr:nvSpPr>
        <xdr:cNvPr id="9" name="Rectangle: Rounded Corners 8">
          <a:extLst>
            <a:ext uri="{FF2B5EF4-FFF2-40B4-BE49-F238E27FC236}">
              <a16:creationId xmlns:a16="http://schemas.microsoft.com/office/drawing/2014/main" id="{CEEA5389-9B68-7A65-4735-04C750B92708}"/>
            </a:ext>
          </a:extLst>
        </xdr:cNvPr>
        <xdr:cNvSpPr/>
      </xdr:nvSpPr>
      <xdr:spPr>
        <a:xfrm>
          <a:off x="345440" y="58420"/>
          <a:ext cx="10198100" cy="630047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21</xdr:row>
      <xdr:rowOff>88900</xdr:rowOff>
    </xdr:from>
    <xdr:to>
      <xdr:col>5</xdr:col>
      <xdr:colOff>6350</xdr:colOff>
      <xdr:row>31</xdr:row>
      <xdr:rowOff>95250</xdr:rowOff>
    </xdr:to>
    <xdr:graphicFrame macro="">
      <xdr:nvGraphicFramePr>
        <xdr:cNvPr id="2" name="Chart 1">
          <a:extLst>
            <a:ext uri="{FF2B5EF4-FFF2-40B4-BE49-F238E27FC236}">
              <a16:creationId xmlns:a16="http://schemas.microsoft.com/office/drawing/2014/main" id="{5EC2E0B2-95CC-406C-B543-83C06B1775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xdr:row>
      <xdr:rowOff>107950</xdr:rowOff>
    </xdr:from>
    <xdr:to>
      <xdr:col>8</xdr:col>
      <xdr:colOff>584200</xdr:colOff>
      <xdr:row>21</xdr:row>
      <xdr:rowOff>50800</xdr:rowOff>
    </xdr:to>
    <xdr:graphicFrame macro="">
      <xdr:nvGraphicFramePr>
        <xdr:cNvPr id="3" name="Chart 2">
          <a:extLst>
            <a:ext uri="{FF2B5EF4-FFF2-40B4-BE49-F238E27FC236}">
              <a16:creationId xmlns:a16="http://schemas.microsoft.com/office/drawing/2014/main" id="{9528A390-54F4-420B-ABE6-B821D0CE29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25400</xdr:colOff>
      <xdr:row>4</xdr:row>
      <xdr:rowOff>95250</xdr:rowOff>
    </xdr:from>
    <xdr:to>
      <xdr:col>17</xdr:col>
      <xdr:colOff>25400</xdr:colOff>
      <xdr:row>21</xdr:row>
      <xdr:rowOff>44450</xdr:rowOff>
    </xdr:to>
    <xdr:graphicFrame macro="">
      <xdr:nvGraphicFramePr>
        <xdr:cNvPr id="4" name="Chart 3">
          <a:extLst>
            <a:ext uri="{FF2B5EF4-FFF2-40B4-BE49-F238E27FC236}">
              <a16:creationId xmlns:a16="http://schemas.microsoft.com/office/drawing/2014/main" id="{F36C4F1C-25B0-4CE2-A51E-9326223B4D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501650</xdr:colOff>
      <xdr:row>21</xdr:row>
      <xdr:rowOff>127001</xdr:rowOff>
    </xdr:from>
    <xdr:to>
      <xdr:col>13</xdr:col>
      <xdr:colOff>501650</xdr:colOff>
      <xdr:row>31</xdr:row>
      <xdr:rowOff>95250</xdr:rowOff>
    </xdr:to>
    <mc:AlternateContent xmlns:mc="http://schemas.openxmlformats.org/markup-compatibility/2006" xmlns:a14="http://schemas.microsoft.com/office/drawing/2010/main">
      <mc:Choice Requires="a14">
        <xdr:graphicFrame macro="">
          <xdr:nvGraphicFramePr>
            <xdr:cNvPr id="6" name="Attendance Type">
              <a:extLst>
                <a:ext uri="{FF2B5EF4-FFF2-40B4-BE49-F238E27FC236}">
                  <a16:creationId xmlns:a16="http://schemas.microsoft.com/office/drawing/2014/main" id="{0481F948-359E-4C9D-A12D-1C3EB35FBDA7}"/>
                </a:ext>
              </a:extLst>
            </xdr:cNvPr>
            <xdr:cNvGraphicFramePr/>
          </xdr:nvGraphicFramePr>
          <xdr:xfrm>
            <a:off x="0" y="0"/>
            <a:ext cx="0" cy="0"/>
          </xdr:xfrm>
          <a:graphic>
            <a:graphicData uri="http://schemas.microsoft.com/office/drawing/2010/slicer">
              <sle:slicer xmlns:sle="http://schemas.microsoft.com/office/drawing/2010/slicer" name="Attendance Type"/>
            </a:graphicData>
          </a:graphic>
        </xdr:graphicFrame>
      </mc:Choice>
      <mc:Fallback xmlns="">
        <xdr:sp macro="" textlink="">
          <xdr:nvSpPr>
            <xdr:cNvPr id="0" name=""/>
            <xdr:cNvSpPr>
              <a:spLocks noTextEdit="1"/>
            </xdr:cNvSpPr>
          </xdr:nvSpPr>
          <xdr:spPr>
            <a:xfrm>
              <a:off x="6597650" y="3994151"/>
              <a:ext cx="1828800" cy="1809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38100</xdr:colOff>
      <xdr:row>21</xdr:row>
      <xdr:rowOff>95250</xdr:rowOff>
    </xdr:from>
    <xdr:to>
      <xdr:col>17</xdr:col>
      <xdr:colOff>38100</xdr:colOff>
      <xdr:row>31</xdr:row>
      <xdr:rowOff>69849</xdr:rowOff>
    </xdr:to>
    <mc:AlternateContent xmlns:mc="http://schemas.openxmlformats.org/markup-compatibility/2006" xmlns:a14="http://schemas.microsoft.com/office/drawing/2010/main">
      <mc:Choice Requires="a14">
        <xdr:graphicFrame macro="">
          <xdr:nvGraphicFramePr>
            <xdr:cNvPr id="7" name="Session Preference">
              <a:extLst>
                <a:ext uri="{FF2B5EF4-FFF2-40B4-BE49-F238E27FC236}">
                  <a16:creationId xmlns:a16="http://schemas.microsoft.com/office/drawing/2014/main" id="{2A68EA1B-20C1-4EB2-B174-A2D7CDF7724F}"/>
                </a:ext>
              </a:extLst>
            </xdr:cNvPr>
            <xdr:cNvGraphicFramePr/>
          </xdr:nvGraphicFramePr>
          <xdr:xfrm>
            <a:off x="0" y="0"/>
            <a:ext cx="0" cy="0"/>
          </xdr:xfrm>
          <a:graphic>
            <a:graphicData uri="http://schemas.microsoft.com/office/drawing/2010/slicer">
              <sle:slicer xmlns:sle="http://schemas.microsoft.com/office/drawing/2010/slicer" name="Session Preference"/>
            </a:graphicData>
          </a:graphic>
        </xdr:graphicFrame>
      </mc:Choice>
      <mc:Fallback xmlns="">
        <xdr:sp macro="" textlink="">
          <xdr:nvSpPr>
            <xdr:cNvPr id="0" name=""/>
            <xdr:cNvSpPr>
              <a:spLocks noTextEdit="1"/>
            </xdr:cNvSpPr>
          </xdr:nvSpPr>
          <xdr:spPr>
            <a:xfrm>
              <a:off x="8572500" y="3962400"/>
              <a:ext cx="1828800" cy="1816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82550</xdr:colOff>
      <xdr:row>21</xdr:row>
      <xdr:rowOff>127000</xdr:rowOff>
    </xdr:from>
    <xdr:to>
      <xdr:col>10</xdr:col>
      <xdr:colOff>368300</xdr:colOff>
      <xdr:row>31</xdr:row>
      <xdr:rowOff>88900</xdr:rowOff>
    </xdr:to>
    <mc:AlternateContent xmlns:mc="http://schemas.openxmlformats.org/markup-compatibility/2006" xmlns:tsle="http://schemas.microsoft.com/office/drawing/2012/timeslicer">
      <mc:Choice Requires="tsle">
        <xdr:graphicFrame macro="">
          <xdr:nvGraphicFramePr>
            <xdr:cNvPr id="8" name="Registration Date">
              <a:extLst>
                <a:ext uri="{FF2B5EF4-FFF2-40B4-BE49-F238E27FC236}">
                  <a16:creationId xmlns:a16="http://schemas.microsoft.com/office/drawing/2014/main" id="{E750E1E9-3A54-4CA3-8D0F-491DCA303B3A}"/>
                </a:ext>
              </a:extLst>
            </xdr:cNvPr>
            <xdr:cNvGraphicFramePr/>
          </xdr:nvGraphicFramePr>
          <xdr:xfrm>
            <a:off x="0" y="0"/>
            <a:ext cx="0" cy="0"/>
          </xdr:xfrm>
          <a:graphic>
            <a:graphicData uri="http://schemas.microsoft.com/office/drawing/2012/timeslicer">
              <tsle:timeslicer name="Registration Date"/>
            </a:graphicData>
          </a:graphic>
        </xdr:graphicFrame>
      </mc:Choice>
      <mc:Fallback xmlns="">
        <xdr:sp macro="" textlink="">
          <xdr:nvSpPr>
            <xdr:cNvPr id="0" name=""/>
            <xdr:cNvSpPr>
              <a:spLocks noTextEdit="1"/>
            </xdr:cNvSpPr>
          </xdr:nvSpPr>
          <xdr:spPr>
            <a:xfrm>
              <a:off x="3130550" y="3994150"/>
              <a:ext cx="3333750" cy="18034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406400</xdr:colOff>
      <xdr:row>0</xdr:row>
      <xdr:rowOff>101600</xdr:rowOff>
    </xdr:from>
    <xdr:to>
      <xdr:col>15</xdr:col>
      <xdr:colOff>209550</xdr:colOff>
      <xdr:row>4</xdr:row>
      <xdr:rowOff>12700</xdr:rowOff>
    </xdr:to>
    <xdr:sp macro="" textlink="">
      <xdr:nvSpPr>
        <xdr:cNvPr id="10" name="Rectangle: Rounded Corners 9">
          <a:extLst>
            <a:ext uri="{FF2B5EF4-FFF2-40B4-BE49-F238E27FC236}">
              <a16:creationId xmlns:a16="http://schemas.microsoft.com/office/drawing/2014/main" id="{884EFD22-EB47-0702-1B43-566ACC27B0D4}"/>
            </a:ext>
          </a:extLst>
        </xdr:cNvPr>
        <xdr:cNvSpPr/>
      </xdr:nvSpPr>
      <xdr:spPr>
        <a:xfrm>
          <a:off x="1625600" y="101600"/>
          <a:ext cx="7727950" cy="647700"/>
        </a:xfrm>
        <a:prstGeom prst="roundRect">
          <a:avLst/>
        </a:prstGeom>
        <a:effectLst>
          <a:glow rad="63500">
            <a:schemeClr val="accent1">
              <a:satMod val="175000"/>
              <a:alpha val="40000"/>
            </a:schemeClr>
          </a:glow>
          <a:innerShdw blurRad="63500" dist="50800" dir="16200000">
            <a:prstClr val="black">
              <a:alpha val="50000"/>
            </a:prstClr>
          </a:innerShdw>
        </a:effectLst>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b="1" cap="none" spc="0">
              <a:ln w="0"/>
              <a:solidFill>
                <a:srgbClr val="FFFF00"/>
              </a:solidFill>
              <a:effectLst>
                <a:outerShdw blurRad="38100" dist="25400" dir="5400000" algn="ctr" rotWithShape="0">
                  <a:srgbClr val="6E747A">
                    <a:alpha val="43000"/>
                  </a:srgbClr>
                </a:outerShdw>
              </a:effectLst>
              <a:latin typeface="+mn-lt"/>
              <a:ea typeface="+mn-ea"/>
              <a:cs typeface="+mn-cs"/>
            </a:rPr>
            <a:t>Updated</a:t>
          </a:r>
          <a:r>
            <a:rPr lang="en-US" sz="3600" b="1" cap="none" spc="0" baseline="0">
              <a:ln w="0"/>
              <a:solidFill>
                <a:srgbClr val="FFFF00"/>
              </a:solidFill>
              <a:effectLst>
                <a:outerShdw blurRad="38100" dist="25400" dir="5400000" algn="ctr" rotWithShape="0">
                  <a:srgbClr val="6E747A">
                    <a:alpha val="43000"/>
                  </a:srgbClr>
                </a:outerShdw>
              </a:effectLst>
              <a:latin typeface="+mn-lt"/>
              <a:ea typeface="+mn-ea"/>
              <a:cs typeface="+mn-cs"/>
            </a:rPr>
            <a:t> </a:t>
          </a:r>
          <a:r>
            <a:rPr lang="pl-PL" sz="3600" b="1" cap="none" spc="0">
              <a:ln w="0"/>
              <a:solidFill>
                <a:srgbClr val="FFFF00"/>
              </a:solidFill>
              <a:effectLst>
                <a:outerShdw blurRad="38100" dist="25400" dir="5400000" algn="ctr" rotWithShape="0">
                  <a:srgbClr val="6E747A">
                    <a:alpha val="43000"/>
                  </a:srgbClr>
                </a:outerShdw>
              </a:effectLst>
              <a:latin typeface="+mn-lt"/>
              <a:ea typeface="+mn-ea"/>
              <a:cs typeface="+mn-cs"/>
            </a:rPr>
            <a:t>Sales Dashboard</a:t>
          </a:r>
          <a:endParaRPr lang="en-US" sz="3600" b="1" cap="none" spc="0">
            <a:ln w="0"/>
            <a:solidFill>
              <a:srgbClr val="FFFF00"/>
            </a:solidFill>
            <a:effectLst>
              <a:outerShdw blurRad="38100" dist="25400" dir="5400000" algn="ctr" rotWithShape="0">
                <a:srgbClr val="6E747A">
                  <a:alpha val="43000"/>
                </a:srgbClr>
              </a:outerShdw>
            </a:effectLst>
          </a:endParaRPr>
        </a:p>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213360</xdr:colOff>
          <xdr:row>32</xdr:row>
          <xdr:rowOff>53340</xdr:rowOff>
        </xdr:from>
        <xdr:to>
          <xdr:col>10</xdr:col>
          <xdr:colOff>563880</xdr:colOff>
          <xdr:row>34</xdr:row>
          <xdr:rowOff>38100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nnis" refreshedDate="45740.87343796296" createdVersion="8" refreshedVersion="6" minRefreshableVersion="3" recordCount="100">
  <cacheSource type="worksheet">
    <worksheetSource name="Table1"/>
  </cacheSource>
  <cacheFields count="12">
    <cacheField name="ID" numFmtId="0">
      <sharedItems/>
    </cacheField>
    <cacheField name="Name" numFmtId="0">
      <sharedItems/>
    </cacheField>
    <cacheField name="Email" numFmtId="0">
      <sharedItems/>
    </cacheField>
    <cacheField name="Phone Number" numFmtId="0">
      <sharedItems/>
    </cacheField>
    <cacheField name="Attendance Type" numFmtId="0">
      <sharedItems count="2">
        <s v="Online"/>
        <s v="In-Person"/>
      </sharedItems>
    </cacheField>
    <cacheField name="Session Preference" numFmtId="0">
      <sharedItems count="3">
        <s v="Data Analytics"/>
        <s v="Artificial Intelligence"/>
        <s v="Cybersecurity"/>
      </sharedItems>
    </cacheField>
    <cacheField name="Ticket Price (€)" numFmtId="165">
      <sharedItems containsSemiMixedTypes="0" containsString="0" containsNumber="1" containsInteger="1" minValue="300" maxValue="700"/>
    </cacheField>
    <cacheField name="Registration Date" numFmtId="166">
      <sharedItems containsSemiMixedTypes="0" containsNonDate="0" containsDate="1" containsString="0" minDate="2022-11-13T00:00:00" maxDate="2024-11-10T00:00:00" count="95">
        <d v="2022-11-13T00:00:00"/>
        <d v="2022-12-14T00:00:00"/>
        <d v="2022-12-20T00:00:00"/>
        <d v="2022-12-26T00:00:00"/>
        <d v="2022-12-31T00:00:00"/>
        <d v="2023-01-11T00:00:00"/>
        <d v="2023-01-15T00:00:00"/>
        <d v="2023-01-17T00:00:00"/>
        <d v="2023-02-05T00:00:00"/>
        <d v="2023-02-09T00:00:00"/>
        <d v="2023-02-14T00:00:00"/>
        <d v="2023-02-18T00:00:00"/>
        <d v="2023-02-19T00:00:00"/>
        <d v="2023-02-21T00:00:00"/>
        <d v="2023-02-22T00:00:00"/>
        <d v="2023-02-25T00:00:00"/>
        <d v="2023-03-14T00:00:00"/>
        <d v="2023-04-03T00:00:00"/>
        <d v="2023-04-10T00:00:00"/>
        <d v="2023-04-12T00:00:00"/>
        <d v="2023-04-20T00:00:00"/>
        <d v="2023-04-24T00:00:00"/>
        <d v="2023-04-25T00:00:00"/>
        <d v="2023-05-02T00:00:00"/>
        <d v="2023-05-25T00:00:00"/>
        <d v="2023-05-26T00:00:00"/>
        <d v="2023-06-17T00:00:00"/>
        <d v="2023-06-24T00:00:00"/>
        <d v="2023-07-06T00:00:00"/>
        <d v="2023-07-07T00:00:00"/>
        <d v="2023-07-24T00:00:00"/>
        <d v="2023-07-26T00:00:00"/>
        <d v="2023-07-31T00:00:00"/>
        <d v="2023-08-04T00:00:00"/>
        <d v="2023-08-17T00:00:00"/>
        <d v="2023-09-09T00:00:00"/>
        <d v="2023-09-11T00:00:00"/>
        <d v="2023-09-30T00:00:00"/>
        <d v="2023-10-14T00:00:00"/>
        <d v="2023-10-16T00:00:00"/>
        <d v="2023-10-25T00:00:00"/>
        <d v="2023-10-31T00:00:00"/>
        <d v="2023-11-03T00:00:00"/>
        <d v="2023-11-30T00:00:00"/>
        <d v="2023-12-03T00:00:00"/>
        <d v="2023-12-09T00:00:00"/>
        <d v="2024-01-08T00:00:00"/>
        <d v="2024-01-16T00:00:00"/>
        <d v="2024-01-22T00:00:00"/>
        <d v="2024-01-24T00:00:00"/>
        <d v="2024-01-31T00:00:00"/>
        <d v="2024-02-08T00:00:00"/>
        <d v="2024-02-09T00:00:00"/>
        <d v="2024-02-11T00:00:00"/>
        <d v="2024-02-16T00:00:00"/>
        <d v="2024-02-21T00:00:00"/>
        <d v="2024-02-23T00:00:00"/>
        <d v="2024-02-27T00:00:00"/>
        <d v="2024-02-28T00:00:00"/>
        <d v="2024-03-02T00:00:00"/>
        <d v="2024-03-17T00:00:00"/>
        <d v="2024-03-22T00:00:00"/>
        <d v="2024-03-24T00:00:00"/>
        <d v="2024-04-09T00:00:00"/>
        <d v="2024-04-17T00:00:00"/>
        <d v="2024-04-28T00:00:00"/>
        <d v="2024-05-04T00:00:00"/>
        <d v="2024-05-13T00:00:00"/>
        <d v="2024-05-25T00:00:00"/>
        <d v="2024-06-13T00:00:00"/>
        <d v="2024-06-16T00:00:00"/>
        <d v="2024-06-18T00:00:00"/>
        <d v="2024-06-23T00:00:00"/>
        <d v="2024-06-27T00:00:00"/>
        <d v="2024-06-28T00:00:00"/>
        <d v="2024-07-01T00:00:00"/>
        <d v="2024-07-03T00:00:00"/>
        <d v="2024-07-11T00:00:00"/>
        <d v="2024-08-02T00:00:00"/>
        <d v="2024-08-09T00:00:00"/>
        <d v="2024-08-14T00:00:00"/>
        <d v="2024-08-22T00:00:00"/>
        <d v="2024-08-26T00:00:00"/>
        <d v="2024-08-29T00:00:00"/>
        <d v="2024-08-30T00:00:00"/>
        <d v="2024-09-25T00:00:00"/>
        <d v="2024-09-27T00:00:00"/>
        <d v="2024-10-01T00:00:00"/>
        <d v="2024-10-06T00:00:00"/>
        <d v="2024-10-16T00:00:00"/>
        <d v="2024-10-23T00:00:00"/>
        <d v="2024-10-25T00:00:00"/>
        <d v="2024-10-28T00:00:00"/>
        <d v="2024-11-02T00:00:00"/>
        <d v="2024-11-09T00:00:00"/>
      </sharedItems>
      <fieldGroup par="11"/>
    </cacheField>
    <cacheField name="attendance " numFmtId="0">
      <sharedItems containsSemiMixedTypes="0" containsString="0" containsNumber="1" containsInteger="1" minValue="1" maxValue="1"/>
    </cacheField>
    <cacheField name="Months (Registration Date)" numFmtId="0" databaseField="0">
      <fieldGroup base="7">
        <rangePr groupBy="months" startDate="2022-11-13T00:00:00" endDate="2024-11-10T00:00:00"/>
        <groupItems count="14">
          <s v="&lt;13/11/2022"/>
          <s v="Jan"/>
          <s v="Feb"/>
          <s v="Mar"/>
          <s v="Apr"/>
          <s v="May"/>
          <s v="Jun"/>
          <s v="Jul"/>
          <s v="Aug"/>
          <s v="Sep"/>
          <s v="Oct"/>
          <s v="Nov"/>
          <s v="Dec"/>
          <s v="&gt;10/11/2024"/>
        </groupItems>
      </fieldGroup>
    </cacheField>
    <cacheField name="Quarters (Registration Date)" numFmtId="0" databaseField="0">
      <fieldGroup base="7">
        <rangePr groupBy="quarters" startDate="2022-11-13T00:00:00" endDate="2024-11-10T00:00:00"/>
        <groupItems count="6">
          <s v="&lt;13/11/2022"/>
          <s v="Qtr1"/>
          <s v="Qtr2"/>
          <s v="Qtr3"/>
          <s v="Qtr4"/>
          <s v="&gt;10/11/2024"/>
        </groupItems>
      </fieldGroup>
    </cacheField>
    <cacheField name="Years (Registration Date)" numFmtId="0" databaseField="0">
      <fieldGroup base="7">
        <rangePr groupBy="years" startDate="2022-11-13T00:00:00" endDate="2024-11-10T00:00:00"/>
        <groupItems count="5">
          <s v="&lt;13/11/2022"/>
          <s v="2022"/>
          <s v="2023"/>
          <s v="2024"/>
          <s v="&gt;10/11/2024"/>
        </groupItems>
      </fieldGroup>
    </cacheField>
  </cacheFields>
  <extLst>
    <ext xmlns:x14="http://schemas.microsoft.com/office/spreadsheetml/2009/9/main" uri="{725AE2AE-9491-48be-B2B4-4EB974FC3084}">
      <x14:pivotCacheDefinition pivotCacheId="503101253"/>
    </ext>
  </extLst>
</pivotCacheDefinition>
</file>

<file path=xl/pivotCache/pivotCacheRecords1.xml><?xml version="1.0" encoding="utf-8"?>
<pivotCacheRecords xmlns="http://schemas.openxmlformats.org/spreadsheetml/2006/main" xmlns:r="http://schemas.openxmlformats.org/officeDocument/2006/relationships" count="100">
  <r>
    <s v="A001"/>
    <s v="Participant 1"/>
    <s v="Participant1@example.com"/>
    <s v="555-0001"/>
    <x v="0"/>
    <x v="0"/>
    <n v="450"/>
    <x v="0"/>
    <n v="1"/>
  </r>
  <r>
    <s v="A002"/>
    <s v="Participant 2"/>
    <s v="Participant2@example.com"/>
    <s v="555-0002"/>
    <x v="1"/>
    <x v="0"/>
    <n v="450"/>
    <x v="1"/>
    <n v="1"/>
  </r>
  <r>
    <s v="A003"/>
    <s v="Participant 3"/>
    <s v="Participant3@example.com"/>
    <s v="555-0003"/>
    <x v="0"/>
    <x v="1"/>
    <n v="700"/>
    <x v="2"/>
    <n v="1"/>
  </r>
  <r>
    <s v="A004"/>
    <s v="Participant 4"/>
    <s v="Participant4@example.com"/>
    <s v="555-0004"/>
    <x v="1"/>
    <x v="2"/>
    <n v="300"/>
    <x v="3"/>
    <n v="1"/>
  </r>
  <r>
    <s v="A005"/>
    <s v="Participant 5"/>
    <s v="Participant5@example.com"/>
    <s v="555-0005"/>
    <x v="0"/>
    <x v="0"/>
    <n v="450"/>
    <x v="4"/>
    <n v="1"/>
  </r>
  <r>
    <s v="A006"/>
    <s v="Participant 6"/>
    <s v="Participant6@example.com"/>
    <s v="555-0006"/>
    <x v="1"/>
    <x v="1"/>
    <n v="700"/>
    <x v="5"/>
    <n v="1"/>
  </r>
  <r>
    <s v="A007"/>
    <s v="Participant 7"/>
    <s v="Participant7@example.com"/>
    <s v="555-0007"/>
    <x v="0"/>
    <x v="2"/>
    <n v="300"/>
    <x v="6"/>
    <n v="1"/>
  </r>
  <r>
    <s v="A008"/>
    <s v="Participant 8"/>
    <s v="Participant8@example.com"/>
    <s v="555-0008"/>
    <x v="1"/>
    <x v="0"/>
    <n v="450"/>
    <x v="7"/>
    <n v="1"/>
  </r>
  <r>
    <s v="A009"/>
    <s v="Participant 9"/>
    <s v="Participant9@example.com"/>
    <s v="555-0009"/>
    <x v="0"/>
    <x v="1"/>
    <n v="700"/>
    <x v="8"/>
    <n v="1"/>
  </r>
  <r>
    <s v="A010"/>
    <s v="Participant 10"/>
    <s v="Participant10@example.com"/>
    <s v="555-0010"/>
    <x v="1"/>
    <x v="2"/>
    <n v="300"/>
    <x v="9"/>
    <n v="1"/>
  </r>
  <r>
    <s v="A011"/>
    <s v="Participant 11"/>
    <s v="Participant11@example.com"/>
    <s v="555-0011"/>
    <x v="0"/>
    <x v="0"/>
    <n v="450"/>
    <x v="10"/>
    <n v="1"/>
  </r>
  <r>
    <s v="A012"/>
    <s v="Participant 12"/>
    <s v="Participant12@example.com"/>
    <s v="555-0012"/>
    <x v="1"/>
    <x v="1"/>
    <n v="700"/>
    <x v="11"/>
    <n v="1"/>
  </r>
  <r>
    <s v="A013"/>
    <s v="Participant 13"/>
    <s v="Participant13@example.com"/>
    <s v="555-0013"/>
    <x v="0"/>
    <x v="2"/>
    <n v="300"/>
    <x v="12"/>
    <n v="1"/>
  </r>
  <r>
    <s v="A014"/>
    <s v="Participant 14"/>
    <s v="Participant14@example.com"/>
    <s v="555-0014"/>
    <x v="1"/>
    <x v="0"/>
    <n v="450"/>
    <x v="13"/>
    <n v="1"/>
  </r>
  <r>
    <s v="A015"/>
    <s v="Participant 15"/>
    <s v="Participant15@example.com"/>
    <s v="555-0015"/>
    <x v="0"/>
    <x v="1"/>
    <n v="700"/>
    <x v="14"/>
    <n v="1"/>
  </r>
  <r>
    <s v="A016"/>
    <s v="Participant 16"/>
    <s v="Participant16@example.com"/>
    <s v="555-0016"/>
    <x v="1"/>
    <x v="2"/>
    <n v="300"/>
    <x v="15"/>
    <n v="1"/>
  </r>
  <r>
    <s v="A017"/>
    <s v="Participant 17"/>
    <s v="Participant17@example.com"/>
    <s v="555-0017"/>
    <x v="0"/>
    <x v="0"/>
    <n v="450"/>
    <x v="16"/>
    <n v="1"/>
  </r>
  <r>
    <s v="A018"/>
    <s v="Participant 18"/>
    <s v="Participant18@example.com"/>
    <s v="555-0018"/>
    <x v="1"/>
    <x v="1"/>
    <n v="700"/>
    <x v="17"/>
    <n v="1"/>
  </r>
  <r>
    <s v="A019"/>
    <s v="Participant 19"/>
    <s v="Participant19@example.com"/>
    <s v="555-0019"/>
    <x v="0"/>
    <x v="2"/>
    <n v="300"/>
    <x v="18"/>
    <n v="1"/>
  </r>
  <r>
    <s v="A020"/>
    <s v="Participant 20"/>
    <s v="Participant20@example.com"/>
    <s v="555-0020"/>
    <x v="1"/>
    <x v="0"/>
    <n v="450"/>
    <x v="19"/>
    <n v="1"/>
  </r>
  <r>
    <s v="A021"/>
    <s v="Participant 21"/>
    <s v="Participant21@example.com"/>
    <s v="555-0021"/>
    <x v="0"/>
    <x v="1"/>
    <n v="700"/>
    <x v="20"/>
    <n v="1"/>
  </r>
  <r>
    <s v="A022"/>
    <s v="Participant 22"/>
    <s v="Participant22@example.com"/>
    <s v="555-0022"/>
    <x v="1"/>
    <x v="2"/>
    <n v="300"/>
    <x v="21"/>
    <n v="1"/>
  </r>
  <r>
    <s v="A023"/>
    <s v="Participant 23"/>
    <s v="Participant23@example.com"/>
    <s v="555-0023"/>
    <x v="0"/>
    <x v="0"/>
    <n v="450"/>
    <x v="22"/>
    <n v="1"/>
  </r>
  <r>
    <s v="A024"/>
    <s v="Participant 24"/>
    <s v="Participant24@example.com"/>
    <s v="555-0024"/>
    <x v="1"/>
    <x v="1"/>
    <n v="700"/>
    <x v="23"/>
    <n v="1"/>
  </r>
  <r>
    <s v="A025"/>
    <s v="Participant 25"/>
    <s v="Participant25@example.com"/>
    <s v="555-0025"/>
    <x v="0"/>
    <x v="2"/>
    <n v="300"/>
    <x v="24"/>
    <n v="1"/>
  </r>
  <r>
    <s v="A026"/>
    <s v="Participant 26"/>
    <s v="Participant26@example.com"/>
    <s v="555-0026"/>
    <x v="1"/>
    <x v="0"/>
    <n v="450"/>
    <x v="25"/>
    <n v="1"/>
  </r>
  <r>
    <s v="A027"/>
    <s v="Participant 27"/>
    <s v="Participant27@example.com"/>
    <s v="555-0027"/>
    <x v="0"/>
    <x v="1"/>
    <n v="700"/>
    <x v="26"/>
    <n v="1"/>
  </r>
  <r>
    <s v="A028"/>
    <s v="Participant 28"/>
    <s v="Participant28@example.com"/>
    <s v="555-0028"/>
    <x v="1"/>
    <x v="2"/>
    <n v="300"/>
    <x v="27"/>
    <n v="1"/>
  </r>
  <r>
    <s v="A029"/>
    <s v="Participant 29"/>
    <s v="Participant29@example.com"/>
    <s v="555-0029"/>
    <x v="0"/>
    <x v="0"/>
    <n v="450"/>
    <x v="28"/>
    <n v="1"/>
  </r>
  <r>
    <s v="A030"/>
    <s v="Participant 30"/>
    <s v="Participant30@example.com"/>
    <s v="555-0030"/>
    <x v="1"/>
    <x v="1"/>
    <n v="700"/>
    <x v="29"/>
    <n v="1"/>
  </r>
  <r>
    <s v="A031"/>
    <s v="Participant 31"/>
    <s v="Participant31@example.com"/>
    <s v="555-0031"/>
    <x v="0"/>
    <x v="2"/>
    <n v="300"/>
    <x v="30"/>
    <n v="1"/>
  </r>
  <r>
    <s v="A032"/>
    <s v="Participant 32"/>
    <s v="Participant32@example.com"/>
    <s v="555-0032"/>
    <x v="1"/>
    <x v="0"/>
    <n v="450"/>
    <x v="31"/>
    <n v="1"/>
  </r>
  <r>
    <s v="A033"/>
    <s v="Participant 33"/>
    <s v="Participant33@example.com"/>
    <s v="555-0033"/>
    <x v="0"/>
    <x v="1"/>
    <n v="700"/>
    <x v="32"/>
    <n v="1"/>
  </r>
  <r>
    <s v="A034"/>
    <s v="Participant 34"/>
    <s v="Participant34@example.com"/>
    <s v="555-0034"/>
    <x v="1"/>
    <x v="2"/>
    <n v="300"/>
    <x v="33"/>
    <n v="1"/>
  </r>
  <r>
    <s v="A035"/>
    <s v="Participant 35"/>
    <s v="Participant35@example.com"/>
    <s v="555-0035"/>
    <x v="0"/>
    <x v="0"/>
    <n v="450"/>
    <x v="34"/>
    <n v="1"/>
  </r>
  <r>
    <s v="A036"/>
    <s v="Participant 36"/>
    <s v="Participant36@example.com"/>
    <s v="555-0036"/>
    <x v="1"/>
    <x v="1"/>
    <n v="700"/>
    <x v="34"/>
    <n v="1"/>
  </r>
  <r>
    <s v="A037"/>
    <s v="Participant 37"/>
    <s v="Participant37@example.com"/>
    <s v="555-0037"/>
    <x v="0"/>
    <x v="2"/>
    <n v="300"/>
    <x v="35"/>
    <n v="1"/>
  </r>
  <r>
    <s v="A038"/>
    <s v="Participant 38"/>
    <s v="Participant38@example.com"/>
    <s v="555-0038"/>
    <x v="1"/>
    <x v="0"/>
    <n v="450"/>
    <x v="36"/>
    <n v="1"/>
  </r>
  <r>
    <s v="A039"/>
    <s v="Participant 39"/>
    <s v="Participant39@example.com"/>
    <s v="555-0039"/>
    <x v="0"/>
    <x v="1"/>
    <n v="700"/>
    <x v="37"/>
    <n v="1"/>
  </r>
  <r>
    <s v="A040"/>
    <s v="Participant 40"/>
    <s v="Participant40@example.com"/>
    <s v="555-0040"/>
    <x v="1"/>
    <x v="2"/>
    <n v="300"/>
    <x v="38"/>
    <n v="1"/>
  </r>
  <r>
    <s v="A041"/>
    <s v="Participant 41"/>
    <s v="Participant41@example.com"/>
    <s v="555-0041"/>
    <x v="0"/>
    <x v="0"/>
    <n v="450"/>
    <x v="39"/>
    <n v="1"/>
  </r>
  <r>
    <s v="A042"/>
    <s v="Participant 42"/>
    <s v="Participant42@example.com"/>
    <s v="555-0042"/>
    <x v="1"/>
    <x v="1"/>
    <n v="700"/>
    <x v="40"/>
    <n v="1"/>
  </r>
  <r>
    <s v="A043"/>
    <s v="Participant 43"/>
    <s v="Participant43@example.com"/>
    <s v="555-0043"/>
    <x v="0"/>
    <x v="2"/>
    <n v="300"/>
    <x v="41"/>
    <n v="1"/>
  </r>
  <r>
    <s v="A044"/>
    <s v="Participant 44"/>
    <s v="Participant44@example.com"/>
    <s v="555-0044"/>
    <x v="1"/>
    <x v="0"/>
    <n v="450"/>
    <x v="42"/>
    <n v="1"/>
  </r>
  <r>
    <s v="A045"/>
    <s v="Participant 45"/>
    <s v="Participant45@example.com"/>
    <s v="555-0045"/>
    <x v="0"/>
    <x v="1"/>
    <n v="700"/>
    <x v="43"/>
    <n v="1"/>
  </r>
  <r>
    <s v="A046"/>
    <s v="Participant 46"/>
    <s v="Participant46@example.com"/>
    <s v="555-0046"/>
    <x v="1"/>
    <x v="2"/>
    <n v="300"/>
    <x v="44"/>
    <n v="1"/>
  </r>
  <r>
    <s v="A047"/>
    <s v="Participant 47"/>
    <s v="Participant47@example.com"/>
    <s v="555-0047"/>
    <x v="0"/>
    <x v="0"/>
    <n v="450"/>
    <x v="45"/>
    <n v="1"/>
  </r>
  <r>
    <s v="A048"/>
    <s v="Participant 48"/>
    <s v="Participant48@example.com"/>
    <s v="555-0048"/>
    <x v="1"/>
    <x v="1"/>
    <n v="700"/>
    <x v="46"/>
    <n v="1"/>
  </r>
  <r>
    <s v="A049"/>
    <s v="Participant 49"/>
    <s v="Participant49@example.com"/>
    <s v="555-0049"/>
    <x v="0"/>
    <x v="2"/>
    <n v="300"/>
    <x v="47"/>
    <n v="1"/>
  </r>
  <r>
    <s v="A050"/>
    <s v="Participant 50"/>
    <s v="Participant50@example.com"/>
    <s v="555-0050"/>
    <x v="1"/>
    <x v="0"/>
    <n v="450"/>
    <x v="48"/>
    <n v="1"/>
  </r>
  <r>
    <s v="A051"/>
    <s v="Participant 51"/>
    <s v="Participant51@example.com"/>
    <s v="555-0051"/>
    <x v="0"/>
    <x v="1"/>
    <n v="700"/>
    <x v="48"/>
    <n v="1"/>
  </r>
  <r>
    <s v="A052"/>
    <s v="Participant 52"/>
    <s v="Participant52@example.com"/>
    <s v="555-0052"/>
    <x v="1"/>
    <x v="2"/>
    <n v="300"/>
    <x v="49"/>
    <n v="1"/>
  </r>
  <r>
    <s v="A053"/>
    <s v="Participant 53"/>
    <s v="Participant53@example.com"/>
    <s v="555-0053"/>
    <x v="0"/>
    <x v="0"/>
    <n v="450"/>
    <x v="50"/>
    <n v="1"/>
  </r>
  <r>
    <s v="A054"/>
    <s v="Participant 54"/>
    <s v="Participant54@example.com"/>
    <s v="555-0054"/>
    <x v="1"/>
    <x v="1"/>
    <n v="700"/>
    <x v="50"/>
    <n v="1"/>
  </r>
  <r>
    <s v="A055"/>
    <s v="Participant 55"/>
    <s v="Participant55@example.com"/>
    <s v="555-0055"/>
    <x v="0"/>
    <x v="2"/>
    <n v="300"/>
    <x v="51"/>
    <n v="1"/>
  </r>
  <r>
    <s v="A056"/>
    <s v="Participant 56"/>
    <s v="Participant56@example.com"/>
    <s v="555-0056"/>
    <x v="1"/>
    <x v="0"/>
    <n v="450"/>
    <x v="52"/>
    <n v="1"/>
  </r>
  <r>
    <s v="A057"/>
    <s v="Participant 57"/>
    <s v="Participant57@example.com"/>
    <s v="555-0057"/>
    <x v="0"/>
    <x v="1"/>
    <n v="700"/>
    <x v="53"/>
    <n v="1"/>
  </r>
  <r>
    <s v="A058"/>
    <s v="Participant 58"/>
    <s v="Participant58@example.com"/>
    <s v="555-0058"/>
    <x v="1"/>
    <x v="2"/>
    <n v="300"/>
    <x v="54"/>
    <n v="1"/>
  </r>
  <r>
    <s v="A059"/>
    <s v="Participant 59"/>
    <s v="Participant59@example.com"/>
    <s v="555-0059"/>
    <x v="0"/>
    <x v="0"/>
    <n v="450"/>
    <x v="55"/>
    <n v="1"/>
  </r>
  <r>
    <s v="A060"/>
    <s v="Participant 60"/>
    <s v="Participant60@example.com"/>
    <s v="555-0060"/>
    <x v="1"/>
    <x v="1"/>
    <n v="700"/>
    <x v="56"/>
    <n v="1"/>
  </r>
  <r>
    <s v="A061"/>
    <s v="Participant 61"/>
    <s v="Participant61@example.com"/>
    <s v="555-0061"/>
    <x v="0"/>
    <x v="2"/>
    <n v="300"/>
    <x v="57"/>
    <n v="1"/>
  </r>
  <r>
    <s v="A062"/>
    <s v="Participant 62"/>
    <s v="Participant62@example.com"/>
    <s v="555-0062"/>
    <x v="1"/>
    <x v="0"/>
    <n v="450"/>
    <x v="58"/>
    <n v="1"/>
  </r>
  <r>
    <s v="A063"/>
    <s v="Participant 63"/>
    <s v="Participant63@example.com"/>
    <s v="555-0063"/>
    <x v="0"/>
    <x v="1"/>
    <n v="700"/>
    <x v="58"/>
    <n v="1"/>
  </r>
  <r>
    <s v="A064"/>
    <s v="Participant 64"/>
    <s v="Participant64@example.com"/>
    <s v="555-0064"/>
    <x v="1"/>
    <x v="2"/>
    <n v="300"/>
    <x v="59"/>
    <n v="1"/>
  </r>
  <r>
    <s v="A065"/>
    <s v="Participant 65"/>
    <s v="Participant65@example.com"/>
    <s v="555-0065"/>
    <x v="0"/>
    <x v="0"/>
    <n v="450"/>
    <x v="59"/>
    <n v="1"/>
  </r>
  <r>
    <s v="A066"/>
    <s v="Participant 66"/>
    <s v="Participant66@example.com"/>
    <s v="555-0066"/>
    <x v="1"/>
    <x v="1"/>
    <n v="700"/>
    <x v="60"/>
    <n v="1"/>
  </r>
  <r>
    <s v="A067"/>
    <s v="Participant 67"/>
    <s v="Participant67@example.com"/>
    <s v="555-0067"/>
    <x v="0"/>
    <x v="2"/>
    <n v="300"/>
    <x v="61"/>
    <n v="1"/>
  </r>
  <r>
    <s v="A068"/>
    <s v="Participant 68"/>
    <s v="Participant68@example.com"/>
    <s v="555-0068"/>
    <x v="1"/>
    <x v="0"/>
    <n v="450"/>
    <x v="62"/>
    <n v="1"/>
  </r>
  <r>
    <s v="A069"/>
    <s v="Participant 69"/>
    <s v="Participant69@example.com"/>
    <s v="555-0069"/>
    <x v="0"/>
    <x v="1"/>
    <n v="700"/>
    <x v="63"/>
    <n v="1"/>
  </r>
  <r>
    <s v="A070"/>
    <s v="Participant 70"/>
    <s v="Participant70@example.com"/>
    <s v="555-0070"/>
    <x v="1"/>
    <x v="2"/>
    <n v="300"/>
    <x v="64"/>
    <n v="1"/>
  </r>
  <r>
    <s v="A071"/>
    <s v="Participant 71"/>
    <s v="Participant71@example.com"/>
    <s v="555-0071"/>
    <x v="0"/>
    <x v="0"/>
    <n v="450"/>
    <x v="65"/>
    <n v="1"/>
  </r>
  <r>
    <s v="A072"/>
    <s v="Participant 72"/>
    <s v="Participant72@example.com"/>
    <s v="555-0072"/>
    <x v="1"/>
    <x v="1"/>
    <n v="700"/>
    <x v="66"/>
    <n v="1"/>
  </r>
  <r>
    <s v="A073"/>
    <s v="Participant 73"/>
    <s v="Participant73@example.com"/>
    <s v="555-0073"/>
    <x v="0"/>
    <x v="2"/>
    <n v="300"/>
    <x v="67"/>
    <n v="1"/>
  </r>
  <r>
    <s v="A074"/>
    <s v="Participant 74"/>
    <s v="Participant74@example.com"/>
    <s v="555-0074"/>
    <x v="1"/>
    <x v="0"/>
    <n v="450"/>
    <x v="68"/>
    <n v="1"/>
  </r>
  <r>
    <s v="A075"/>
    <s v="Participant 75"/>
    <s v="Participant75@example.com"/>
    <s v="555-0075"/>
    <x v="0"/>
    <x v="1"/>
    <n v="700"/>
    <x v="69"/>
    <n v="1"/>
  </r>
  <r>
    <s v="A076"/>
    <s v="Participant 76"/>
    <s v="Participant76@example.com"/>
    <s v="555-0076"/>
    <x v="1"/>
    <x v="2"/>
    <n v="300"/>
    <x v="70"/>
    <n v="1"/>
  </r>
  <r>
    <s v="A077"/>
    <s v="Participant 77"/>
    <s v="Participant77@example.com"/>
    <s v="555-0077"/>
    <x v="0"/>
    <x v="0"/>
    <n v="450"/>
    <x v="71"/>
    <n v="1"/>
  </r>
  <r>
    <s v="A078"/>
    <s v="Participant 78"/>
    <s v="Participant78@example.com"/>
    <s v="555-0078"/>
    <x v="1"/>
    <x v="1"/>
    <n v="700"/>
    <x v="72"/>
    <n v="1"/>
  </r>
  <r>
    <s v="A079"/>
    <s v="Participant 79"/>
    <s v="Participant79@example.com"/>
    <s v="555-0079"/>
    <x v="0"/>
    <x v="2"/>
    <n v="300"/>
    <x v="73"/>
    <n v="1"/>
  </r>
  <r>
    <s v="A080"/>
    <s v="Participant 80"/>
    <s v="Participant80@example.com"/>
    <s v="555-0080"/>
    <x v="1"/>
    <x v="0"/>
    <n v="450"/>
    <x v="74"/>
    <n v="1"/>
  </r>
  <r>
    <s v="A081"/>
    <s v="Participant 81"/>
    <s v="Participant81@example.com"/>
    <s v="555-0081"/>
    <x v="0"/>
    <x v="1"/>
    <n v="700"/>
    <x v="75"/>
    <n v="1"/>
  </r>
  <r>
    <s v="A082"/>
    <s v="Participant 82"/>
    <s v="Participant82@example.com"/>
    <s v="555-0082"/>
    <x v="1"/>
    <x v="2"/>
    <n v="300"/>
    <x v="76"/>
    <n v="1"/>
  </r>
  <r>
    <s v="A083"/>
    <s v="Participant 83"/>
    <s v="Participant83@example.com"/>
    <s v="555-0083"/>
    <x v="0"/>
    <x v="0"/>
    <n v="450"/>
    <x v="77"/>
    <n v="1"/>
  </r>
  <r>
    <s v="A084"/>
    <s v="Participant 84"/>
    <s v="Participant84@example.com"/>
    <s v="555-0084"/>
    <x v="1"/>
    <x v="1"/>
    <n v="700"/>
    <x v="78"/>
    <n v="1"/>
  </r>
  <r>
    <s v="A085"/>
    <s v="Participant 85"/>
    <s v="Participant85@example.com"/>
    <s v="555-0085"/>
    <x v="0"/>
    <x v="2"/>
    <n v="300"/>
    <x v="79"/>
    <n v="1"/>
  </r>
  <r>
    <s v="A086"/>
    <s v="Participant 86"/>
    <s v="Participant86@example.com"/>
    <s v="555-0086"/>
    <x v="1"/>
    <x v="0"/>
    <n v="450"/>
    <x v="80"/>
    <n v="1"/>
  </r>
  <r>
    <s v="A087"/>
    <s v="Participant 87"/>
    <s v="Participant87@example.com"/>
    <s v="555-0087"/>
    <x v="0"/>
    <x v="1"/>
    <n v="700"/>
    <x v="81"/>
    <n v="1"/>
  </r>
  <r>
    <s v="A088"/>
    <s v="Participant 88"/>
    <s v="Participant88@example.com"/>
    <s v="555-0088"/>
    <x v="1"/>
    <x v="2"/>
    <n v="300"/>
    <x v="82"/>
    <n v="1"/>
  </r>
  <r>
    <s v="A089"/>
    <s v="Participant 89"/>
    <s v="Participant89@example.com"/>
    <s v="555-0089"/>
    <x v="0"/>
    <x v="0"/>
    <n v="450"/>
    <x v="83"/>
    <n v="1"/>
  </r>
  <r>
    <s v="A090"/>
    <s v="Participant 90"/>
    <s v="Participant90@example.com"/>
    <s v="555-0090"/>
    <x v="1"/>
    <x v="1"/>
    <n v="700"/>
    <x v="84"/>
    <n v="1"/>
  </r>
  <r>
    <s v="A091"/>
    <s v="Participant 91"/>
    <s v="Participant91@example.com"/>
    <s v="555-0091"/>
    <x v="0"/>
    <x v="2"/>
    <n v="300"/>
    <x v="85"/>
    <n v="1"/>
  </r>
  <r>
    <s v="A092"/>
    <s v="Participant 92"/>
    <s v="Participant92@example.com"/>
    <s v="555-0092"/>
    <x v="1"/>
    <x v="0"/>
    <n v="450"/>
    <x v="86"/>
    <n v="1"/>
  </r>
  <r>
    <s v="A093"/>
    <s v="Participant 93"/>
    <s v="Participant93@example.com"/>
    <s v="555-0093"/>
    <x v="0"/>
    <x v="1"/>
    <n v="700"/>
    <x v="87"/>
    <n v="1"/>
  </r>
  <r>
    <s v="A094"/>
    <s v="Participant 94"/>
    <s v="Participant94@example.com"/>
    <s v="555-0094"/>
    <x v="1"/>
    <x v="2"/>
    <n v="300"/>
    <x v="88"/>
    <n v="1"/>
  </r>
  <r>
    <s v="A095"/>
    <s v="Participant 95"/>
    <s v="Participant95@example.com"/>
    <s v="555-0095"/>
    <x v="0"/>
    <x v="0"/>
    <n v="450"/>
    <x v="89"/>
    <n v="1"/>
  </r>
  <r>
    <s v="A096"/>
    <s v="Participant 96"/>
    <s v="Participant96@example.com"/>
    <s v="555-0096"/>
    <x v="1"/>
    <x v="1"/>
    <n v="700"/>
    <x v="90"/>
    <n v="1"/>
  </r>
  <r>
    <s v="A097"/>
    <s v="Participant 97"/>
    <s v="Participant97@example.com"/>
    <s v="555-0097"/>
    <x v="0"/>
    <x v="2"/>
    <n v="300"/>
    <x v="91"/>
    <n v="1"/>
  </r>
  <r>
    <s v="A098"/>
    <s v="Participant 98"/>
    <s v="Participant98@example.com"/>
    <s v="555-0098"/>
    <x v="1"/>
    <x v="0"/>
    <n v="450"/>
    <x v="92"/>
    <n v="1"/>
  </r>
  <r>
    <s v="A099"/>
    <s v="Participant 99"/>
    <s v="Participant99@example.com"/>
    <s v="555-0099"/>
    <x v="0"/>
    <x v="1"/>
    <n v="700"/>
    <x v="93"/>
    <n v="1"/>
  </r>
  <r>
    <s v="A100"/>
    <s v="Participant 100"/>
    <s v="Participant100@example.com"/>
    <s v="555-0100"/>
    <x v="1"/>
    <x v="2"/>
    <n v="300"/>
    <x v="94"/>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6" cacheId="40"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11">
  <location ref="A3:C32" firstHeaderRow="0" firstDataRow="1" firstDataCol="1"/>
  <pivotFields count="12">
    <pivotField dataField="1" showAll="0"/>
    <pivotField showAll="0"/>
    <pivotField showAll="0"/>
    <pivotField showAll="0"/>
    <pivotField showAll="0">
      <items count="3">
        <item x="1"/>
        <item x="0"/>
        <item t="default"/>
      </items>
    </pivotField>
    <pivotField showAll="0">
      <items count="4">
        <item x="1"/>
        <item x="2"/>
        <item x="0"/>
        <item t="default"/>
      </items>
    </pivotField>
    <pivotField dataField="1" numFmtId="165" showAll="0"/>
    <pivotField numFmtId="166"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defaultSubtotal="0"/>
    <pivotField axis="axisRow" showAll="0" defaultSubtotal="0">
      <items count="14">
        <item x="0"/>
        <item x="1"/>
        <item x="2"/>
        <item x="3"/>
        <item x="4"/>
        <item x="5"/>
        <item x="6"/>
        <item x="7"/>
        <item x="8"/>
        <item x="9"/>
        <item x="10"/>
        <item x="11"/>
        <item x="12"/>
        <item x="13"/>
      </items>
    </pivotField>
    <pivotField showAll="0" defaultSubtotal="0"/>
    <pivotField axis="axisRow" showAll="0" defaultSubtotal="0">
      <items count="5">
        <item x="0"/>
        <item x="1"/>
        <item x="2"/>
        <item x="3"/>
        <item x="4"/>
      </items>
    </pivotField>
  </pivotFields>
  <rowFields count="2">
    <field x="11"/>
    <field x="9"/>
  </rowFields>
  <rowItems count="29">
    <i>
      <x v="1"/>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t="grand">
      <x/>
    </i>
  </rowItems>
  <colFields count="1">
    <field x="-2"/>
  </colFields>
  <colItems count="2">
    <i>
      <x/>
    </i>
    <i i="1">
      <x v="1"/>
    </i>
  </colItems>
  <dataFields count="2">
    <dataField name="Sum of Ticket Price (€)" fld="6" baseField="0" baseItem="0" numFmtId="165"/>
    <dataField name="Count of ID" fld="0" subtotal="count" baseField="0" baseItem="0"/>
  </dataFields>
  <formats count="4">
    <format dxfId="153">
      <pivotArea outline="0" collapsedLevelsAreSubtotals="1" fieldPosition="0"/>
    </format>
    <format dxfId="152">
      <pivotArea dataOnly="0" labelOnly="1" outline="0" fieldPosition="0">
        <references count="1">
          <reference field="4294967294" count="2">
            <x v="0"/>
            <x v="1"/>
          </reference>
        </references>
      </pivotArea>
    </format>
    <format dxfId="151">
      <pivotArea dataOnly="0" labelOnly="1" outline="0" fieldPosition="0">
        <references count="1">
          <reference field="4294967294" count="2">
            <x v="0"/>
            <x v="1"/>
          </reference>
        </references>
      </pivotArea>
    </format>
    <format dxfId="150">
      <pivotArea grandRow="1" outline="0" collapsedLevelsAreSubtotals="1" fieldPosition="0"/>
    </format>
  </formats>
  <chartFormats count="4">
    <chartFormat chart="3"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9" cacheId="4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8">
  <location ref="G19:H22" firstHeaderRow="1" firstDataRow="1" firstDataCol="1"/>
  <pivotFields count="12">
    <pivotField dataField="1" showAll="0"/>
    <pivotField showAll="0"/>
    <pivotField showAll="0"/>
    <pivotField showAll="0"/>
    <pivotField axis="axisRow" showAll="0">
      <items count="3">
        <item x="1"/>
        <item x="0"/>
        <item t="default"/>
      </items>
    </pivotField>
    <pivotField showAll="0">
      <items count="4">
        <item x="1"/>
        <item x="2"/>
        <item x="0"/>
        <item t="default"/>
      </items>
    </pivotField>
    <pivotField numFmtId="165" showAll="0"/>
    <pivotField numFmtId="166"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defaultSubtotal="0"/>
    <pivotField showAll="0" defaultSubtotal="0"/>
    <pivotField showAll="0" defaultSubtotal="0"/>
    <pivotField showAll="0" defaultSubtotal="0">
      <items count="5">
        <item x="0"/>
        <item x="1"/>
        <item x="2"/>
        <item x="3"/>
        <item x="4"/>
      </items>
    </pivotField>
  </pivotFields>
  <rowFields count="1">
    <field x="4"/>
  </rowFields>
  <rowItems count="3">
    <i>
      <x/>
    </i>
    <i>
      <x v="1"/>
    </i>
    <i t="grand">
      <x/>
    </i>
  </rowItems>
  <colItems count="1">
    <i/>
  </colItems>
  <dataFields count="1">
    <dataField name="Count of ID" fld="0" subtotal="count" baseField="0" baseItem="0"/>
  </dataFields>
  <formats count="11">
    <format dxfId="164">
      <pivotArea type="all" dataOnly="0" outline="0" fieldPosition="0"/>
    </format>
    <format dxfId="163">
      <pivotArea outline="0" collapsedLevelsAreSubtotals="1" fieldPosition="0"/>
    </format>
    <format dxfId="162">
      <pivotArea field="4" type="button" dataOnly="0" labelOnly="1" outline="0" axis="axisRow" fieldPosition="0"/>
    </format>
    <format dxfId="161">
      <pivotArea dataOnly="0" labelOnly="1" outline="0" axis="axisValues" fieldPosition="0"/>
    </format>
    <format dxfId="160">
      <pivotArea dataOnly="0" labelOnly="1" fieldPosition="0">
        <references count="1">
          <reference field="4" count="0"/>
        </references>
      </pivotArea>
    </format>
    <format dxfId="159">
      <pivotArea dataOnly="0" labelOnly="1" grandRow="1" outline="0" fieldPosition="0"/>
    </format>
    <format dxfId="158">
      <pivotArea dataOnly="0" labelOnly="1" outline="0" axis="axisValues" fieldPosition="0"/>
    </format>
    <format dxfId="157">
      <pivotArea field="4" type="button" dataOnly="0" labelOnly="1" outline="0" axis="axisRow" fieldPosition="0"/>
    </format>
    <format dxfId="156">
      <pivotArea dataOnly="0" labelOnly="1" outline="0" axis="axisValues" fieldPosition="0"/>
    </format>
    <format dxfId="155">
      <pivotArea dataOnly="0" labelOnly="1" outline="0" axis="axisValues" fieldPosition="0"/>
    </format>
    <format dxfId="154">
      <pivotArea dataOnly="0" grandRow="1" axis="axisRow" fieldPosition="0"/>
    </format>
  </formats>
  <chartFormats count="3">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4" count="1" selected="0">
            <x v="0"/>
          </reference>
        </references>
      </pivotArea>
    </chartFormat>
    <chartFormat chart="4" format="9">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8" cacheId="4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D20:E33" firstHeaderRow="1" firstDataRow="1" firstDataCol="1"/>
  <pivotFields count="12">
    <pivotField showAll="0"/>
    <pivotField showAll="0"/>
    <pivotField showAll="0"/>
    <pivotField showAll="0"/>
    <pivotField showAll="0">
      <items count="3">
        <item x="1"/>
        <item x="0"/>
        <item t="default"/>
      </items>
    </pivotField>
    <pivotField showAll="0">
      <items count="4">
        <item x="1"/>
        <item x="2"/>
        <item x="0"/>
        <item t="default"/>
      </items>
    </pivotField>
    <pivotField dataField="1" numFmtId="165" showAll="0"/>
    <pivotField numFmtId="166"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defaultSubtotal="0"/>
    <pivotField showAll="0" defaultSubtotal="0"/>
    <pivotField axis="axisRow" showAll="0" defaultSubtotal="0">
      <items count="6">
        <item x="0"/>
        <item x="1"/>
        <item x="2"/>
        <item x="3"/>
        <item x="4"/>
        <item x="5"/>
      </items>
    </pivotField>
    <pivotField axis="axisRow" showAll="0" defaultSubtotal="0">
      <items count="5">
        <item x="0"/>
        <item x="1"/>
        <item x="2"/>
        <item x="3"/>
        <item x="4"/>
      </items>
    </pivotField>
  </pivotFields>
  <rowFields count="2">
    <field x="11"/>
    <field x="10"/>
  </rowFields>
  <rowItems count="13">
    <i>
      <x v="1"/>
    </i>
    <i r="1">
      <x v="4"/>
    </i>
    <i>
      <x v="2"/>
    </i>
    <i r="1">
      <x v="1"/>
    </i>
    <i r="1">
      <x v="2"/>
    </i>
    <i r="1">
      <x v="3"/>
    </i>
    <i r="1">
      <x v="4"/>
    </i>
    <i>
      <x v="3"/>
    </i>
    <i r="1">
      <x v="1"/>
    </i>
    <i r="1">
      <x v="2"/>
    </i>
    <i r="1">
      <x v="3"/>
    </i>
    <i r="1">
      <x v="4"/>
    </i>
    <i t="grand">
      <x/>
    </i>
  </rowItems>
  <colItems count="1">
    <i/>
  </colItems>
  <dataFields count="1">
    <dataField name="Sum of Ticket Price (€)" fld="6" baseField="0" baseItem="0" numFmtId="165"/>
  </dataFields>
  <formats count="14">
    <format dxfId="178">
      <pivotArea type="all" dataOnly="0" outline="0" fieldPosition="0"/>
    </format>
    <format dxfId="177">
      <pivotArea outline="0" collapsedLevelsAreSubtotals="1" fieldPosition="0"/>
    </format>
    <format dxfId="176">
      <pivotArea field="11" type="button" dataOnly="0" labelOnly="1" outline="0" axis="axisRow" fieldPosition="0"/>
    </format>
    <format dxfId="175">
      <pivotArea dataOnly="0" labelOnly="1" outline="0" axis="axisValues" fieldPosition="0"/>
    </format>
    <format dxfId="174">
      <pivotArea dataOnly="0" labelOnly="1" fieldPosition="0">
        <references count="1">
          <reference field="11" count="3">
            <x v="1"/>
            <x v="2"/>
            <x v="3"/>
          </reference>
        </references>
      </pivotArea>
    </format>
    <format dxfId="173">
      <pivotArea dataOnly="0" labelOnly="1" grandRow="1" outline="0" fieldPosition="0"/>
    </format>
    <format dxfId="172">
      <pivotArea dataOnly="0" labelOnly="1" fieldPosition="0">
        <references count="2">
          <reference field="10" count="1">
            <x v="4"/>
          </reference>
          <reference field="11" count="1" selected="0">
            <x v="1"/>
          </reference>
        </references>
      </pivotArea>
    </format>
    <format dxfId="171">
      <pivotArea dataOnly="0" labelOnly="1" fieldPosition="0">
        <references count="2">
          <reference field="10" count="4">
            <x v="1"/>
            <x v="2"/>
            <x v="3"/>
            <x v="4"/>
          </reference>
          <reference field="11" count="1" selected="0">
            <x v="2"/>
          </reference>
        </references>
      </pivotArea>
    </format>
    <format dxfId="170">
      <pivotArea dataOnly="0" labelOnly="1" fieldPosition="0">
        <references count="2">
          <reference field="10" count="4">
            <x v="1"/>
            <x v="2"/>
            <x v="3"/>
            <x v="4"/>
          </reference>
          <reference field="11" count="1" selected="0">
            <x v="3"/>
          </reference>
        </references>
      </pivotArea>
    </format>
    <format dxfId="169">
      <pivotArea dataOnly="0" labelOnly="1" outline="0" axis="axisValues" fieldPosition="0"/>
    </format>
    <format dxfId="168">
      <pivotArea field="11" type="button" dataOnly="0" labelOnly="1" outline="0" axis="axisRow" fieldPosition="0"/>
    </format>
    <format dxfId="167">
      <pivotArea dataOnly="0" labelOnly="1" outline="0" axis="axisValues" fieldPosition="0"/>
    </format>
    <format dxfId="166">
      <pivotArea dataOnly="0" labelOnly="1" outline="0" axis="axisValues" fieldPosition="0"/>
    </format>
    <format dxfId="165">
      <pivotArea dataOnly="0" grandRow="1"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7" cacheId="4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28">
  <location ref="D3:H17" firstHeaderRow="1" firstDataRow="2" firstDataCol="1"/>
  <pivotFields count="12">
    <pivotField dataField="1" showAll="0"/>
    <pivotField showAll="0"/>
    <pivotField showAll="0"/>
    <pivotField showAll="0"/>
    <pivotField showAll="0">
      <items count="3">
        <item x="1"/>
        <item x="0"/>
        <item t="default"/>
      </items>
    </pivotField>
    <pivotField axis="axisCol" showAll="0">
      <items count="4">
        <item x="1"/>
        <item x="2"/>
        <item x="0"/>
        <item t="default"/>
      </items>
    </pivotField>
    <pivotField numFmtId="165" showAll="0"/>
    <pivotField numFmtId="166"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defaultSubtotal="0"/>
    <pivotField showAll="0" defaultSubtotal="0"/>
    <pivotField axis="axisRow" showAll="0" defaultSubtotal="0">
      <items count="6">
        <item x="0"/>
        <item x="1"/>
        <item x="2"/>
        <item x="3"/>
        <item x="4"/>
        <item x="5"/>
      </items>
    </pivotField>
    <pivotField axis="axisRow" showAll="0" defaultSubtotal="0">
      <items count="5">
        <item x="0"/>
        <item x="1"/>
        <item x="2"/>
        <item x="3"/>
        <item x="4"/>
      </items>
    </pivotField>
  </pivotFields>
  <rowFields count="2">
    <field x="11"/>
    <field x="10"/>
  </rowFields>
  <rowItems count="13">
    <i>
      <x v="1"/>
    </i>
    <i r="1">
      <x v="4"/>
    </i>
    <i>
      <x v="2"/>
    </i>
    <i r="1">
      <x v="1"/>
    </i>
    <i r="1">
      <x v="2"/>
    </i>
    <i r="1">
      <x v="3"/>
    </i>
    <i r="1">
      <x v="4"/>
    </i>
    <i>
      <x v="3"/>
    </i>
    <i r="1">
      <x v="1"/>
    </i>
    <i r="1">
      <x v="2"/>
    </i>
    <i r="1">
      <x v="3"/>
    </i>
    <i r="1">
      <x v="4"/>
    </i>
    <i t="grand">
      <x/>
    </i>
  </rowItems>
  <colFields count="1">
    <field x="5"/>
  </colFields>
  <colItems count="4">
    <i>
      <x/>
    </i>
    <i>
      <x v="1"/>
    </i>
    <i>
      <x v="2"/>
    </i>
    <i t="grand">
      <x/>
    </i>
  </colItems>
  <dataFields count="1">
    <dataField name="Count of ID" fld="0" subtotal="count" baseField="0" baseItem="0"/>
  </dataFields>
  <formats count="21">
    <format dxfId="199">
      <pivotArea type="all" dataOnly="0" outline="0" fieldPosition="0"/>
    </format>
    <format dxfId="198">
      <pivotArea outline="0" collapsedLevelsAreSubtotals="1" fieldPosition="0"/>
    </format>
    <format dxfId="197">
      <pivotArea type="origin" dataOnly="0" labelOnly="1" outline="0" fieldPosition="0"/>
    </format>
    <format dxfId="196">
      <pivotArea field="5" type="button" dataOnly="0" labelOnly="1" outline="0" axis="axisCol" fieldPosition="0"/>
    </format>
    <format dxfId="195">
      <pivotArea type="topRight" dataOnly="0" labelOnly="1" outline="0" fieldPosition="0"/>
    </format>
    <format dxfId="194">
      <pivotArea field="11" type="button" dataOnly="0" labelOnly="1" outline="0" axis="axisRow" fieldPosition="0"/>
    </format>
    <format dxfId="193">
      <pivotArea dataOnly="0" labelOnly="1" fieldPosition="0">
        <references count="1">
          <reference field="11" count="3">
            <x v="1"/>
            <x v="2"/>
            <x v="3"/>
          </reference>
        </references>
      </pivotArea>
    </format>
    <format dxfId="192">
      <pivotArea dataOnly="0" labelOnly="1" grandRow="1" outline="0" fieldPosition="0"/>
    </format>
    <format dxfId="191">
      <pivotArea dataOnly="0" labelOnly="1" fieldPosition="0">
        <references count="2">
          <reference field="10" count="1">
            <x v="4"/>
          </reference>
          <reference field="11" count="1" selected="0">
            <x v="1"/>
          </reference>
        </references>
      </pivotArea>
    </format>
    <format dxfId="190">
      <pivotArea dataOnly="0" labelOnly="1" fieldPosition="0">
        <references count="2">
          <reference field="10" count="4">
            <x v="1"/>
            <x v="2"/>
            <x v="3"/>
            <x v="4"/>
          </reference>
          <reference field="11" count="1" selected="0">
            <x v="2"/>
          </reference>
        </references>
      </pivotArea>
    </format>
    <format dxfId="189">
      <pivotArea dataOnly="0" labelOnly="1" fieldPosition="0">
        <references count="2">
          <reference field="10" count="4">
            <x v="1"/>
            <x v="2"/>
            <x v="3"/>
            <x v="4"/>
          </reference>
          <reference field="11" count="1" selected="0">
            <x v="3"/>
          </reference>
        </references>
      </pivotArea>
    </format>
    <format dxfId="188">
      <pivotArea dataOnly="0" labelOnly="1" fieldPosition="0">
        <references count="1">
          <reference field="5" count="0"/>
        </references>
      </pivotArea>
    </format>
    <format dxfId="187">
      <pivotArea dataOnly="0" labelOnly="1" grandCol="1" outline="0" fieldPosition="0"/>
    </format>
    <format dxfId="186">
      <pivotArea type="origin" dataOnly="0" labelOnly="1" outline="0" fieldPosition="0"/>
    </format>
    <format dxfId="185">
      <pivotArea field="5" type="button" dataOnly="0" labelOnly="1" outline="0" axis="axisCol" fieldPosition="0"/>
    </format>
    <format dxfId="184">
      <pivotArea type="topRight" dataOnly="0" labelOnly="1" outline="0" fieldPosition="0"/>
    </format>
    <format dxfId="183">
      <pivotArea field="11" type="button" dataOnly="0" labelOnly="1" outline="0" axis="axisRow" fieldPosition="0"/>
    </format>
    <format dxfId="182">
      <pivotArea dataOnly="0" labelOnly="1" fieldPosition="0">
        <references count="1">
          <reference field="5" count="0"/>
        </references>
      </pivotArea>
    </format>
    <format dxfId="181">
      <pivotArea dataOnly="0" labelOnly="1" grandCol="1" outline="0" fieldPosition="0"/>
    </format>
    <format dxfId="180">
      <pivotArea grandRow="1" outline="0" collapsedLevelsAreSubtotals="1" fieldPosition="0"/>
    </format>
    <format dxfId="179">
      <pivotArea dataOnly="0" labelOnly="1" grandRow="1" outline="0" fieldPosition="0"/>
    </format>
  </formats>
  <chartFormats count="5">
    <chartFormat chart="3" format="12" series="1">
      <pivotArea type="data" outline="0" fieldPosition="0">
        <references count="1">
          <reference field="5" count="1" selected="0">
            <x v="0"/>
          </reference>
        </references>
      </pivotArea>
    </chartFormat>
    <chartFormat chart="3" format="13" series="1">
      <pivotArea type="data" outline="0" fieldPosition="0">
        <references count="1">
          <reference field="5" count="1" selected="0">
            <x v="1"/>
          </reference>
        </references>
      </pivotArea>
    </chartFormat>
    <chartFormat chart="3" format="14" series="1">
      <pivotArea type="data" outline="0" fieldPosition="0">
        <references count="1">
          <reference field="5" count="1" selected="0">
            <x v="2"/>
          </reference>
        </references>
      </pivotArea>
    </chartFormat>
    <chartFormat chart="3" format="15" series="1">
      <pivotArea type="data" outline="0" fieldPosition="0">
        <references count="2">
          <reference field="4294967294" count="1" selected="0">
            <x v="0"/>
          </reference>
          <reference field="5" count="1" selected="0">
            <x v="1"/>
          </reference>
        </references>
      </pivotArea>
    </chartFormat>
    <chartFormat chart="3" format="16"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ttendance_Type" sourceName="Attendance Type">
  <pivotTables>
    <pivotTable tabId="11" name="PivotTable16"/>
    <pivotTable tabId="11" name="PivotTable17"/>
    <pivotTable tabId="11" name="PivotTable18"/>
    <pivotTable tabId="11" name="PivotTable19"/>
  </pivotTables>
  <data>
    <tabular pivotCacheId="50310125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ession_Preference" sourceName="Session Preference">
  <pivotTables>
    <pivotTable tabId="11" name="PivotTable16"/>
    <pivotTable tabId="11" name="PivotTable17"/>
    <pivotTable tabId="11" name="PivotTable18"/>
    <pivotTable tabId="11" name="PivotTable19"/>
  </pivotTables>
  <data>
    <tabular pivotCacheId="503101253">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ttendance Type" cache="Slicer_Attendance_Type" caption="Attendance Type" style="SlicerStyleDark1" rowHeight="241300"/>
  <slicer name="Session Preference" cache="Slicer_Session_Preference" caption="Session Preference" style="SlicerStyleDark1" rowHeight="241300"/>
</slicers>
</file>

<file path=xl/tables/table1.xml><?xml version="1.0" encoding="utf-8"?>
<table xmlns="http://schemas.openxmlformats.org/spreadsheetml/2006/main" id="1" name="Table1" displayName="Table1" ref="A1:I101" totalsRowShown="0" headerRowDxfId="212" dataDxfId="210" headerRowBorderDxfId="211" tableBorderDxfId="209">
  <autoFilter ref="A1:I101"/>
  <tableColumns count="9">
    <tableColumn id="1" name="ID" dataDxfId="208"/>
    <tableColumn id="2" name="Name" dataDxfId="207"/>
    <tableColumn id="3" name="Email" dataDxfId="206"/>
    <tableColumn id="4" name="Phone Number" dataDxfId="205"/>
    <tableColumn id="5" name="Attendance Type" dataDxfId="204"/>
    <tableColumn id="6" name="Session Preference" dataDxfId="203"/>
    <tableColumn id="7" name="Ticket Price (€)" dataDxfId="202"/>
    <tableColumn id="8" name="Registration Date" dataDxfId="201"/>
    <tableColumn id="9" name="attendance " dataDxfId="20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Registration_Date" sourceName="Registration Date">
  <pivotTables>
    <pivotTable tabId="11" name="PivotTable16"/>
  </pivotTables>
  <state minimalRefreshVersion="6" lastRefreshVersion="6" pivotCacheId="503101253" filterType="unknown">
    <bounds startDate="2022-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Registration Date" cache="NativeTimeline_Registration_Date" caption="Registration Date" level="2" selectionLevel="2" scrollPosition="2022-01-01T00:00:00" style="TimeSlicerStyleDark1"/>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hyperlink" Target="mailto:eagle@gmail.com" TargetMode="External"/><Relationship Id="rId7" Type="http://schemas.openxmlformats.org/officeDocument/2006/relationships/ctrlProp" Target="../ctrlProps/ctrlProp1.xml"/><Relationship Id="rId2" Type="http://schemas.openxmlformats.org/officeDocument/2006/relationships/hyperlink" Target="mailto:fly@gmail.com" TargetMode="External"/><Relationship Id="rId1" Type="http://schemas.openxmlformats.org/officeDocument/2006/relationships/hyperlink" Target="mailto:cat@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hyperlink" Target="mailto:dog@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000"/>
  <sheetViews>
    <sheetView topLeftCell="B1" workbookViewId="0">
      <selection activeCell="G5" sqref="G5"/>
    </sheetView>
  </sheetViews>
  <sheetFormatPr defaultColWidth="14.44140625" defaultRowHeight="15" customHeight="1"/>
  <cols>
    <col min="1" max="1" width="12.77734375" bestFit="1" customWidth="1"/>
    <col min="2" max="2" width="13.21875" bestFit="1" customWidth="1"/>
    <col min="3" max="3" width="26.109375" bestFit="1" customWidth="1"/>
    <col min="4" max="4" width="18.109375" bestFit="1" customWidth="1"/>
    <col min="5" max="5" width="19.6640625" bestFit="1" customWidth="1"/>
    <col min="6" max="6" width="21.21875" bestFit="1" customWidth="1"/>
    <col min="7" max="7" width="17.77734375" style="5" bestFit="1" customWidth="1"/>
    <col min="8" max="8" width="20" style="7" bestFit="1" customWidth="1"/>
    <col min="9" max="9" width="15.44140625" bestFit="1" customWidth="1"/>
    <col min="10" max="10" width="15.21875" bestFit="1" customWidth="1"/>
    <col min="11" max="12" width="9.88671875" bestFit="1" customWidth="1"/>
    <col min="13" max="13" width="10.77734375" bestFit="1" customWidth="1"/>
    <col min="14" max="26" width="8.77734375" customWidth="1"/>
  </cols>
  <sheetData>
    <row r="1" spans="1:11" ht="14.25" customHeight="1">
      <c r="A1" s="8" t="s">
        <v>415</v>
      </c>
      <c r="B1" s="8" t="s">
        <v>0</v>
      </c>
      <c r="C1" s="8" t="s">
        <v>1</v>
      </c>
      <c r="D1" s="8" t="s">
        <v>2</v>
      </c>
      <c r="E1" s="8" t="s">
        <v>3</v>
      </c>
      <c r="F1" s="8" t="s">
        <v>4</v>
      </c>
      <c r="G1" s="9" t="s">
        <v>5</v>
      </c>
      <c r="H1" s="10" t="s">
        <v>6</v>
      </c>
      <c r="I1" s="8" t="s">
        <v>452</v>
      </c>
      <c r="J1" s="1"/>
      <c r="K1" s="1"/>
    </row>
    <row r="2" spans="1:11" ht="14.25" customHeight="1">
      <c r="A2" s="1" t="s">
        <v>7</v>
      </c>
      <c r="B2" s="1" t="s">
        <v>8</v>
      </c>
      <c r="C2" s="1" t="s">
        <v>9</v>
      </c>
      <c r="D2" s="1" t="s">
        <v>10</v>
      </c>
      <c r="E2" s="1" t="s">
        <v>11</v>
      </c>
      <c r="F2" s="1" t="s">
        <v>12</v>
      </c>
      <c r="G2" s="4">
        <v>450</v>
      </c>
      <c r="H2" s="6">
        <v>44878</v>
      </c>
      <c r="I2" s="1">
        <v>1</v>
      </c>
      <c r="J2" s="3"/>
    </row>
    <row r="3" spans="1:11" ht="14.25" customHeight="1">
      <c r="A3" s="1" t="s">
        <v>13</v>
      </c>
      <c r="B3" s="1" t="s">
        <v>14</v>
      </c>
      <c r="C3" s="1" t="s">
        <v>15</v>
      </c>
      <c r="D3" s="1" t="s">
        <v>16</v>
      </c>
      <c r="E3" s="1" t="s">
        <v>17</v>
      </c>
      <c r="F3" s="1" t="s">
        <v>12</v>
      </c>
      <c r="G3" s="4">
        <v>450</v>
      </c>
      <c r="H3" s="6">
        <v>44909</v>
      </c>
      <c r="I3" s="1">
        <v>1</v>
      </c>
    </row>
    <row r="4" spans="1:11" ht="14.25" customHeight="1">
      <c r="A4" s="1" t="s">
        <v>18</v>
      </c>
      <c r="B4" s="1" t="s">
        <v>19</v>
      </c>
      <c r="C4" s="1" t="s">
        <v>20</v>
      </c>
      <c r="D4" s="1" t="s">
        <v>21</v>
      </c>
      <c r="E4" s="1" t="s">
        <v>11</v>
      </c>
      <c r="F4" s="1" t="s">
        <v>22</v>
      </c>
      <c r="G4" s="4">
        <v>700</v>
      </c>
      <c r="H4" s="6">
        <v>44915</v>
      </c>
      <c r="I4" s="1">
        <v>1</v>
      </c>
    </row>
    <row r="5" spans="1:11" ht="14.25" customHeight="1">
      <c r="A5" s="1" t="s">
        <v>23</v>
      </c>
      <c r="B5" s="1" t="s">
        <v>24</v>
      </c>
      <c r="C5" s="1" t="s">
        <v>25</v>
      </c>
      <c r="D5" s="1" t="s">
        <v>26</v>
      </c>
      <c r="E5" s="1" t="s">
        <v>17</v>
      </c>
      <c r="F5" s="1" t="s">
        <v>27</v>
      </c>
      <c r="G5" s="4">
        <v>300</v>
      </c>
      <c r="H5" s="6">
        <v>44921</v>
      </c>
      <c r="I5" s="1">
        <v>1</v>
      </c>
    </row>
    <row r="6" spans="1:11" ht="14.25" customHeight="1">
      <c r="A6" s="1" t="s">
        <v>28</v>
      </c>
      <c r="B6" s="1" t="s">
        <v>29</v>
      </c>
      <c r="C6" s="1" t="s">
        <v>30</v>
      </c>
      <c r="D6" s="1" t="s">
        <v>31</v>
      </c>
      <c r="E6" s="1" t="s">
        <v>11</v>
      </c>
      <c r="F6" s="1" t="s">
        <v>12</v>
      </c>
      <c r="G6" s="4">
        <v>450</v>
      </c>
      <c r="H6" s="6">
        <v>44926</v>
      </c>
      <c r="I6" s="1">
        <v>1</v>
      </c>
    </row>
    <row r="7" spans="1:11" ht="14.25" customHeight="1">
      <c r="A7" s="1" t="s">
        <v>32</v>
      </c>
      <c r="B7" s="1" t="s">
        <v>33</v>
      </c>
      <c r="C7" s="1" t="s">
        <v>34</v>
      </c>
      <c r="D7" s="1" t="s">
        <v>35</v>
      </c>
      <c r="E7" s="1" t="s">
        <v>17</v>
      </c>
      <c r="F7" s="1" t="s">
        <v>22</v>
      </c>
      <c r="G7" s="4">
        <v>700</v>
      </c>
      <c r="H7" s="6">
        <v>44937</v>
      </c>
      <c r="I7" s="1">
        <v>1</v>
      </c>
    </row>
    <row r="8" spans="1:11" ht="14.25" customHeight="1">
      <c r="A8" s="1" t="s">
        <v>36</v>
      </c>
      <c r="B8" s="1" t="s">
        <v>37</v>
      </c>
      <c r="C8" s="1" t="s">
        <v>38</v>
      </c>
      <c r="D8" s="1" t="s">
        <v>39</v>
      </c>
      <c r="E8" s="1" t="s">
        <v>11</v>
      </c>
      <c r="F8" s="1" t="s">
        <v>27</v>
      </c>
      <c r="G8" s="4">
        <v>300</v>
      </c>
      <c r="H8" s="6">
        <v>44941</v>
      </c>
      <c r="I8" s="1">
        <v>1</v>
      </c>
    </row>
    <row r="9" spans="1:11" ht="14.25" customHeight="1">
      <c r="A9" s="1" t="s">
        <v>40</v>
      </c>
      <c r="B9" s="1" t="s">
        <v>41</v>
      </c>
      <c r="C9" s="1" t="s">
        <v>42</v>
      </c>
      <c r="D9" s="1" t="s">
        <v>43</v>
      </c>
      <c r="E9" s="1" t="s">
        <v>17</v>
      </c>
      <c r="F9" s="1" t="s">
        <v>12</v>
      </c>
      <c r="G9" s="4">
        <v>450</v>
      </c>
      <c r="H9" s="6">
        <v>44943</v>
      </c>
      <c r="I9" s="1">
        <v>1</v>
      </c>
    </row>
    <row r="10" spans="1:11" ht="14.25" customHeight="1">
      <c r="A10" s="1" t="s">
        <v>44</v>
      </c>
      <c r="B10" s="1" t="s">
        <v>45</v>
      </c>
      <c r="C10" s="1" t="s">
        <v>46</v>
      </c>
      <c r="D10" s="1" t="s">
        <v>47</v>
      </c>
      <c r="E10" s="1" t="s">
        <v>11</v>
      </c>
      <c r="F10" s="1" t="s">
        <v>22</v>
      </c>
      <c r="G10" s="4">
        <v>700</v>
      </c>
      <c r="H10" s="6">
        <v>44962</v>
      </c>
      <c r="I10" s="1">
        <v>1</v>
      </c>
    </row>
    <row r="11" spans="1:11" ht="14.25" customHeight="1">
      <c r="A11" s="1" t="s">
        <v>48</v>
      </c>
      <c r="B11" s="1" t="s">
        <v>49</v>
      </c>
      <c r="C11" s="1" t="s">
        <v>50</v>
      </c>
      <c r="D11" s="1" t="s">
        <v>51</v>
      </c>
      <c r="E11" s="1" t="s">
        <v>17</v>
      </c>
      <c r="F11" s="1" t="s">
        <v>27</v>
      </c>
      <c r="G11" s="4">
        <v>300</v>
      </c>
      <c r="H11" s="6">
        <v>44966</v>
      </c>
      <c r="I11" s="1">
        <v>1</v>
      </c>
    </row>
    <row r="12" spans="1:11" ht="14.25" customHeight="1">
      <c r="A12" s="1" t="s">
        <v>52</v>
      </c>
      <c r="B12" s="1" t="s">
        <v>53</v>
      </c>
      <c r="C12" s="1" t="s">
        <v>54</v>
      </c>
      <c r="D12" s="1" t="s">
        <v>55</v>
      </c>
      <c r="E12" s="1" t="s">
        <v>11</v>
      </c>
      <c r="F12" s="1" t="s">
        <v>12</v>
      </c>
      <c r="G12" s="4">
        <v>450</v>
      </c>
      <c r="H12" s="6">
        <v>44971</v>
      </c>
      <c r="I12" s="1">
        <v>1</v>
      </c>
    </row>
    <row r="13" spans="1:11" ht="14.25" customHeight="1">
      <c r="A13" s="1" t="s">
        <v>56</v>
      </c>
      <c r="B13" s="1" t="s">
        <v>57</v>
      </c>
      <c r="C13" s="1" t="s">
        <v>58</v>
      </c>
      <c r="D13" s="1" t="s">
        <v>59</v>
      </c>
      <c r="E13" s="1" t="s">
        <v>17</v>
      </c>
      <c r="F13" s="1" t="s">
        <v>22</v>
      </c>
      <c r="G13" s="4">
        <v>700</v>
      </c>
      <c r="H13" s="6">
        <v>44975</v>
      </c>
      <c r="I13" s="1">
        <v>1</v>
      </c>
    </row>
    <row r="14" spans="1:11" ht="14.25" customHeight="1">
      <c r="A14" s="1" t="s">
        <v>60</v>
      </c>
      <c r="B14" s="1" t="s">
        <v>61</v>
      </c>
      <c r="C14" s="1" t="s">
        <v>62</v>
      </c>
      <c r="D14" s="1" t="s">
        <v>63</v>
      </c>
      <c r="E14" s="1" t="s">
        <v>11</v>
      </c>
      <c r="F14" s="1" t="s">
        <v>27</v>
      </c>
      <c r="G14" s="4">
        <v>300</v>
      </c>
      <c r="H14" s="6">
        <v>44976</v>
      </c>
      <c r="I14" s="1">
        <v>1</v>
      </c>
    </row>
    <row r="15" spans="1:11" ht="14.25" customHeight="1">
      <c r="A15" s="1" t="s">
        <v>64</v>
      </c>
      <c r="B15" s="1" t="s">
        <v>65</v>
      </c>
      <c r="C15" s="1" t="s">
        <v>66</v>
      </c>
      <c r="D15" s="1" t="s">
        <v>67</v>
      </c>
      <c r="E15" s="1" t="s">
        <v>17</v>
      </c>
      <c r="F15" s="1" t="s">
        <v>12</v>
      </c>
      <c r="G15" s="4">
        <v>450</v>
      </c>
      <c r="H15" s="6">
        <v>44978</v>
      </c>
      <c r="I15" s="1">
        <v>1</v>
      </c>
    </row>
    <row r="16" spans="1:11" ht="14.25" customHeight="1">
      <c r="A16" s="1" t="s">
        <v>68</v>
      </c>
      <c r="B16" s="1" t="s">
        <v>69</v>
      </c>
      <c r="C16" s="1" t="s">
        <v>70</v>
      </c>
      <c r="D16" s="1" t="s">
        <v>71</v>
      </c>
      <c r="E16" s="1" t="s">
        <v>11</v>
      </c>
      <c r="F16" s="1" t="s">
        <v>22</v>
      </c>
      <c r="G16" s="4">
        <v>700</v>
      </c>
      <c r="H16" s="6">
        <v>44979</v>
      </c>
      <c r="I16" s="1">
        <v>1</v>
      </c>
    </row>
    <row r="17" spans="1:9" ht="14.25" customHeight="1">
      <c r="A17" s="1" t="s">
        <v>72</v>
      </c>
      <c r="B17" s="1" t="s">
        <v>73</v>
      </c>
      <c r="C17" s="1" t="s">
        <v>74</v>
      </c>
      <c r="D17" s="1" t="s">
        <v>75</v>
      </c>
      <c r="E17" s="1" t="s">
        <v>17</v>
      </c>
      <c r="F17" s="1" t="s">
        <v>27</v>
      </c>
      <c r="G17" s="4">
        <v>300</v>
      </c>
      <c r="H17" s="6">
        <v>44982</v>
      </c>
      <c r="I17" s="1">
        <v>1</v>
      </c>
    </row>
    <row r="18" spans="1:9" ht="14.25" customHeight="1">
      <c r="A18" s="1" t="s">
        <v>76</v>
      </c>
      <c r="B18" s="1" t="s">
        <v>77</v>
      </c>
      <c r="C18" s="1" t="s">
        <v>78</v>
      </c>
      <c r="D18" s="1" t="s">
        <v>79</v>
      </c>
      <c r="E18" s="1" t="s">
        <v>11</v>
      </c>
      <c r="F18" s="1" t="s">
        <v>12</v>
      </c>
      <c r="G18" s="4">
        <v>450</v>
      </c>
      <c r="H18" s="6">
        <v>44999</v>
      </c>
      <c r="I18" s="1">
        <v>1</v>
      </c>
    </row>
    <row r="19" spans="1:9" ht="14.25" customHeight="1">
      <c r="A19" s="1" t="s">
        <v>80</v>
      </c>
      <c r="B19" s="1" t="s">
        <v>81</v>
      </c>
      <c r="C19" s="1" t="s">
        <v>82</v>
      </c>
      <c r="D19" s="1" t="s">
        <v>83</v>
      </c>
      <c r="E19" s="1" t="s">
        <v>17</v>
      </c>
      <c r="F19" s="1" t="s">
        <v>22</v>
      </c>
      <c r="G19" s="4">
        <v>700</v>
      </c>
      <c r="H19" s="6">
        <v>45019</v>
      </c>
      <c r="I19" s="1">
        <v>1</v>
      </c>
    </row>
    <row r="20" spans="1:9" ht="14.25" customHeight="1">
      <c r="A20" s="1" t="s">
        <v>84</v>
      </c>
      <c r="B20" s="1" t="s">
        <v>85</v>
      </c>
      <c r="C20" s="1" t="s">
        <v>86</v>
      </c>
      <c r="D20" s="1" t="s">
        <v>87</v>
      </c>
      <c r="E20" s="1" t="s">
        <v>11</v>
      </c>
      <c r="F20" s="1" t="s">
        <v>27</v>
      </c>
      <c r="G20" s="4">
        <v>300</v>
      </c>
      <c r="H20" s="6">
        <v>45026</v>
      </c>
      <c r="I20" s="1">
        <v>1</v>
      </c>
    </row>
    <row r="21" spans="1:9" ht="14.25" customHeight="1">
      <c r="A21" s="1" t="s">
        <v>88</v>
      </c>
      <c r="B21" s="1" t="s">
        <v>89</v>
      </c>
      <c r="C21" s="1" t="s">
        <v>90</v>
      </c>
      <c r="D21" s="1" t="s">
        <v>91</v>
      </c>
      <c r="E21" s="1" t="s">
        <v>17</v>
      </c>
      <c r="F21" s="1" t="s">
        <v>12</v>
      </c>
      <c r="G21" s="4">
        <v>450</v>
      </c>
      <c r="H21" s="6">
        <v>45028</v>
      </c>
      <c r="I21" s="1">
        <v>1</v>
      </c>
    </row>
    <row r="22" spans="1:9" ht="14.25" customHeight="1">
      <c r="A22" s="1" t="s">
        <v>92</v>
      </c>
      <c r="B22" s="1" t="s">
        <v>93</v>
      </c>
      <c r="C22" s="1" t="s">
        <v>94</v>
      </c>
      <c r="D22" s="1" t="s">
        <v>95</v>
      </c>
      <c r="E22" s="1" t="s">
        <v>11</v>
      </c>
      <c r="F22" s="1" t="s">
        <v>22</v>
      </c>
      <c r="G22" s="4">
        <v>700</v>
      </c>
      <c r="H22" s="6">
        <v>45036</v>
      </c>
      <c r="I22" s="1">
        <v>1</v>
      </c>
    </row>
    <row r="23" spans="1:9" ht="14.25" customHeight="1">
      <c r="A23" s="1" t="s">
        <v>96</v>
      </c>
      <c r="B23" s="1" t="s">
        <v>97</v>
      </c>
      <c r="C23" s="1" t="s">
        <v>98</v>
      </c>
      <c r="D23" s="1" t="s">
        <v>99</v>
      </c>
      <c r="E23" s="1" t="s">
        <v>17</v>
      </c>
      <c r="F23" s="1" t="s">
        <v>27</v>
      </c>
      <c r="G23" s="4">
        <v>300</v>
      </c>
      <c r="H23" s="6">
        <v>45040</v>
      </c>
      <c r="I23" s="1">
        <v>1</v>
      </c>
    </row>
    <row r="24" spans="1:9" ht="14.25" customHeight="1">
      <c r="A24" s="1" t="s">
        <v>100</v>
      </c>
      <c r="B24" s="1" t="s">
        <v>101</v>
      </c>
      <c r="C24" s="1" t="s">
        <v>102</v>
      </c>
      <c r="D24" s="1" t="s">
        <v>103</v>
      </c>
      <c r="E24" s="1" t="s">
        <v>11</v>
      </c>
      <c r="F24" s="1" t="s">
        <v>12</v>
      </c>
      <c r="G24" s="4">
        <v>450</v>
      </c>
      <c r="H24" s="6">
        <v>45041</v>
      </c>
      <c r="I24" s="1">
        <v>1</v>
      </c>
    </row>
    <row r="25" spans="1:9" ht="14.25" customHeight="1">
      <c r="A25" s="1" t="s">
        <v>104</v>
      </c>
      <c r="B25" s="1" t="s">
        <v>105</v>
      </c>
      <c r="C25" s="1" t="s">
        <v>106</v>
      </c>
      <c r="D25" s="1" t="s">
        <v>107</v>
      </c>
      <c r="E25" s="1" t="s">
        <v>17</v>
      </c>
      <c r="F25" s="1" t="s">
        <v>22</v>
      </c>
      <c r="G25" s="4">
        <v>700</v>
      </c>
      <c r="H25" s="6">
        <v>45048</v>
      </c>
      <c r="I25" s="1">
        <v>1</v>
      </c>
    </row>
    <row r="26" spans="1:9" ht="14.25" customHeight="1">
      <c r="A26" s="1" t="s">
        <v>108</v>
      </c>
      <c r="B26" s="1" t="s">
        <v>109</v>
      </c>
      <c r="C26" s="1" t="s">
        <v>110</v>
      </c>
      <c r="D26" s="1" t="s">
        <v>111</v>
      </c>
      <c r="E26" s="1" t="s">
        <v>11</v>
      </c>
      <c r="F26" s="1" t="s">
        <v>27</v>
      </c>
      <c r="G26" s="4">
        <v>300</v>
      </c>
      <c r="H26" s="6">
        <v>45071</v>
      </c>
      <c r="I26" s="1">
        <v>1</v>
      </c>
    </row>
    <row r="27" spans="1:9" ht="14.25" customHeight="1">
      <c r="A27" s="1" t="s">
        <v>112</v>
      </c>
      <c r="B27" s="1" t="s">
        <v>113</v>
      </c>
      <c r="C27" s="1" t="s">
        <v>114</v>
      </c>
      <c r="D27" s="1" t="s">
        <v>115</v>
      </c>
      <c r="E27" s="1" t="s">
        <v>17</v>
      </c>
      <c r="F27" s="1" t="s">
        <v>12</v>
      </c>
      <c r="G27" s="4">
        <v>450</v>
      </c>
      <c r="H27" s="6">
        <v>45072</v>
      </c>
      <c r="I27" s="1">
        <v>1</v>
      </c>
    </row>
    <row r="28" spans="1:9" ht="14.25" customHeight="1">
      <c r="A28" s="1" t="s">
        <v>116</v>
      </c>
      <c r="B28" s="1" t="s">
        <v>117</v>
      </c>
      <c r="C28" s="1" t="s">
        <v>118</v>
      </c>
      <c r="D28" s="1" t="s">
        <v>119</v>
      </c>
      <c r="E28" s="1" t="s">
        <v>11</v>
      </c>
      <c r="F28" s="1" t="s">
        <v>22</v>
      </c>
      <c r="G28" s="4">
        <v>700</v>
      </c>
      <c r="H28" s="6">
        <v>45094</v>
      </c>
      <c r="I28" s="1">
        <v>1</v>
      </c>
    </row>
    <row r="29" spans="1:9" ht="14.25" customHeight="1">
      <c r="A29" s="1" t="s">
        <v>120</v>
      </c>
      <c r="B29" s="1" t="s">
        <v>121</v>
      </c>
      <c r="C29" s="1" t="s">
        <v>122</v>
      </c>
      <c r="D29" s="1" t="s">
        <v>123</v>
      </c>
      <c r="E29" s="1" t="s">
        <v>17</v>
      </c>
      <c r="F29" s="1" t="s">
        <v>27</v>
      </c>
      <c r="G29" s="4">
        <v>300</v>
      </c>
      <c r="H29" s="6">
        <v>45101</v>
      </c>
      <c r="I29" s="1">
        <v>1</v>
      </c>
    </row>
    <row r="30" spans="1:9" ht="14.25" customHeight="1">
      <c r="A30" s="1" t="s">
        <v>124</v>
      </c>
      <c r="B30" s="1" t="s">
        <v>125</v>
      </c>
      <c r="C30" s="1" t="s">
        <v>126</v>
      </c>
      <c r="D30" s="1" t="s">
        <v>127</v>
      </c>
      <c r="E30" s="1" t="s">
        <v>11</v>
      </c>
      <c r="F30" s="1" t="s">
        <v>12</v>
      </c>
      <c r="G30" s="4">
        <v>450</v>
      </c>
      <c r="H30" s="6">
        <v>45113</v>
      </c>
      <c r="I30" s="1">
        <v>1</v>
      </c>
    </row>
    <row r="31" spans="1:9" ht="14.25" customHeight="1">
      <c r="A31" s="1" t="s">
        <v>128</v>
      </c>
      <c r="B31" s="1" t="s">
        <v>129</v>
      </c>
      <c r="C31" s="1" t="s">
        <v>130</v>
      </c>
      <c r="D31" s="1" t="s">
        <v>131</v>
      </c>
      <c r="E31" s="1" t="s">
        <v>17</v>
      </c>
      <c r="F31" s="1" t="s">
        <v>22</v>
      </c>
      <c r="G31" s="4">
        <v>700</v>
      </c>
      <c r="H31" s="6">
        <v>45114</v>
      </c>
      <c r="I31" s="1">
        <v>1</v>
      </c>
    </row>
    <row r="32" spans="1:9" ht="14.25" customHeight="1">
      <c r="A32" s="1" t="s">
        <v>132</v>
      </c>
      <c r="B32" s="1" t="s">
        <v>133</v>
      </c>
      <c r="C32" s="1" t="s">
        <v>134</v>
      </c>
      <c r="D32" s="1" t="s">
        <v>135</v>
      </c>
      <c r="E32" s="1" t="s">
        <v>11</v>
      </c>
      <c r="F32" s="1" t="s">
        <v>27</v>
      </c>
      <c r="G32" s="4">
        <v>300</v>
      </c>
      <c r="H32" s="6">
        <v>45131</v>
      </c>
      <c r="I32" s="1">
        <v>1</v>
      </c>
    </row>
    <row r="33" spans="1:9" ht="14.25" customHeight="1">
      <c r="A33" s="1" t="s">
        <v>136</v>
      </c>
      <c r="B33" s="1" t="s">
        <v>137</v>
      </c>
      <c r="C33" s="1" t="s">
        <v>138</v>
      </c>
      <c r="D33" s="1" t="s">
        <v>139</v>
      </c>
      <c r="E33" s="1" t="s">
        <v>17</v>
      </c>
      <c r="F33" s="1" t="s">
        <v>12</v>
      </c>
      <c r="G33" s="4">
        <v>450</v>
      </c>
      <c r="H33" s="6">
        <v>45133</v>
      </c>
      <c r="I33" s="1">
        <v>1</v>
      </c>
    </row>
    <row r="34" spans="1:9" ht="14.25" customHeight="1">
      <c r="A34" s="1" t="s">
        <v>140</v>
      </c>
      <c r="B34" s="1" t="s">
        <v>141</v>
      </c>
      <c r="C34" s="1" t="s">
        <v>142</v>
      </c>
      <c r="D34" s="1" t="s">
        <v>143</v>
      </c>
      <c r="E34" s="1" t="s">
        <v>11</v>
      </c>
      <c r="F34" s="1" t="s">
        <v>22</v>
      </c>
      <c r="G34" s="4">
        <v>700</v>
      </c>
      <c r="H34" s="6">
        <v>45138</v>
      </c>
      <c r="I34" s="1">
        <v>1</v>
      </c>
    </row>
    <row r="35" spans="1:9" ht="14.25" customHeight="1">
      <c r="A35" s="1" t="s">
        <v>144</v>
      </c>
      <c r="B35" s="1" t="s">
        <v>145</v>
      </c>
      <c r="C35" s="1" t="s">
        <v>146</v>
      </c>
      <c r="D35" s="1" t="s">
        <v>147</v>
      </c>
      <c r="E35" s="1" t="s">
        <v>17</v>
      </c>
      <c r="F35" s="1" t="s">
        <v>27</v>
      </c>
      <c r="G35" s="4">
        <v>300</v>
      </c>
      <c r="H35" s="6">
        <v>45142</v>
      </c>
      <c r="I35" s="1">
        <v>1</v>
      </c>
    </row>
    <row r="36" spans="1:9" ht="14.25" customHeight="1">
      <c r="A36" s="1" t="s">
        <v>148</v>
      </c>
      <c r="B36" s="1" t="s">
        <v>149</v>
      </c>
      <c r="C36" s="1" t="s">
        <v>150</v>
      </c>
      <c r="D36" s="1" t="s">
        <v>151</v>
      </c>
      <c r="E36" s="1" t="s">
        <v>11</v>
      </c>
      <c r="F36" s="1" t="s">
        <v>12</v>
      </c>
      <c r="G36" s="4">
        <v>450</v>
      </c>
      <c r="H36" s="6">
        <v>45155</v>
      </c>
      <c r="I36" s="1">
        <v>1</v>
      </c>
    </row>
    <row r="37" spans="1:9" ht="14.25" customHeight="1">
      <c r="A37" s="1" t="s">
        <v>152</v>
      </c>
      <c r="B37" s="1" t="s">
        <v>153</v>
      </c>
      <c r="C37" s="1" t="s">
        <v>154</v>
      </c>
      <c r="D37" s="1" t="s">
        <v>155</v>
      </c>
      <c r="E37" s="1" t="s">
        <v>17</v>
      </c>
      <c r="F37" s="1" t="s">
        <v>22</v>
      </c>
      <c r="G37" s="4">
        <v>700</v>
      </c>
      <c r="H37" s="6">
        <v>45155</v>
      </c>
      <c r="I37" s="1">
        <v>1</v>
      </c>
    </row>
    <row r="38" spans="1:9" ht="14.25" customHeight="1">
      <c r="A38" s="1" t="s">
        <v>156</v>
      </c>
      <c r="B38" s="1" t="s">
        <v>157</v>
      </c>
      <c r="C38" s="1" t="s">
        <v>158</v>
      </c>
      <c r="D38" s="1" t="s">
        <v>159</v>
      </c>
      <c r="E38" s="1" t="s">
        <v>11</v>
      </c>
      <c r="F38" s="1" t="s">
        <v>27</v>
      </c>
      <c r="G38" s="4">
        <v>300</v>
      </c>
      <c r="H38" s="6">
        <v>45178</v>
      </c>
      <c r="I38" s="1">
        <v>1</v>
      </c>
    </row>
    <row r="39" spans="1:9" ht="14.25" customHeight="1">
      <c r="A39" s="1" t="s">
        <v>160</v>
      </c>
      <c r="B39" s="1" t="s">
        <v>161</v>
      </c>
      <c r="C39" s="1" t="s">
        <v>162</v>
      </c>
      <c r="D39" s="1" t="s">
        <v>163</v>
      </c>
      <c r="E39" s="1" t="s">
        <v>17</v>
      </c>
      <c r="F39" s="1" t="s">
        <v>12</v>
      </c>
      <c r="G39" s="4">
        <v>450</v>
      </c>
      <c r="H39" s="6">
        <v>45180</v>
      </c>
      <c r="I39" s="1">
        <v>1</v>
      </c>
    </row>
    <row r="40" spans="1:9" ht="14.25" customHeight="1">
      <c r="A40" s="1" t="s">
        <v>164</v>
      </c>
      <c r="B40" s="1" t="s">
        <v>165</v>
      </c>
      <c r="C40" s="1" t="s">
        <v>166</v>
      </c>
      <c r="D40" s="1" t="s">
        <v>167</v>
      </c>
      <c r="E40" s="1" t="s">
        <v>11</v>
      </c>
      <c r="F40" s="1" t="s">
        <v>22</v>
      </c>
      <c r="G40" s="4">
        <v>700</v>
      </c>
      <c r="H40" s="6">
        <v>45199</v>
      </c>
      <c r="I40" s="1">
        <v>1</v>
      </c>
    </row>
    <row r="41" spans="1:9" ht="14.25" customHeight="1">
      <c r="A41" s="1" t="s">
        <v>168</v>
      </c>
      <c r="B41" s="1" t="s">
        <v>169</v>
      </c>
      <c r="C41" s="1" t="s">
        <v>170</v>
      </c>
      <c r="D41" s="1" t="s">
        <v>171</v>
      </c>
      <c r="E41" s="1" t="s">
        <v>17</v>
      </c>
      <c r="F41" s="1" t="s">
        <v>27</v>
      </c>
      <c r="G41" s="4">
        <v>300</v>
      </c>
      <c r="H41" s="6">
        <v>45213</v>
      </c>
      <c r="I41" s="1">
        <v>1</v>
      </c>
    </row>
    <row r="42" spans="1:9" ht="14.25" customHeight="1">
      <c r="A42" s="1" t="s">
        <v>172</v>
      </c>
      <c r="B42" s="1" t="s">
        <v>173</v>
      </c>
      <c r="C42" s="1" t="s">
        <v>174</v>
      </c>
      <c r="D42" s="1" t="s">
        <v>175</v>
      </c>
      <c r="E42" s="1" t="s">
        <v>11</v>
      </c>
      <c r="F42" s="1" t="s">
        <v>12</v>
      </c>
      <c r="G42" s="4">
        <v>450</v>
      </c>
      <c r="H42" s="6">
        <v>45215</v>
      </c>
      <c r="I42" s="1">
        <v>1</v>
      </c>
    </row>
    <row r="43" spans="1:9" ht="14.25" customHeight="1">
      <c r="A43" s="1" t="s">
        <v>176</v>
      </c>
      <c r="B43" s="1" t="s">
        <v>177</v>
      </c>
      <c r="C43" s="1" t="s">
        <v>178</v>
      </c>
      <c r="D43" s="1" t="s">
        <v>179</v>
      </c>
      <c r="E43" s="1" t="s">
        <v>17</v>
      </c>
      <c r="F43" s="1" t="s">
        <v>22</v>
      </c>
      <c r="G43" s="4">
        <v>700</v>
      </c>
      <c r="H43" s="6">
        <v>45224</v>
      </c>
      <c r="I43" s="1">
        <v>1</v>
      </c>
    </row>
    <row r="44" spans="1:9" ht="14.25" customHeight="1">
      <c r="A44" s="1" t="s">
        <v>180</v>
      </c>
      <c r="B44" s="1" t="s">
        <v>181</v>
      </c>
      <c r="C44" s="1" t="s">
        <v>182</v>
      </c>
      <c r="D44" s="1" t="s">
        <v>183</v>
      </c>
      <c r="E44" s="1" t="s">
        <v>11</v>
      </c>
      <c r="F44" s="1" t="s">
        <v>27</v>
      </c>
      <c r="G44" s="4">
        <v>300</v>
      </c>
      <c r="H44" s="6">
        <v>45230</v>
      </c>
      <c r="I44" s="1">
        <v>1</v>
      </c>
    </row>
    <row r="45" spans="1:9" ht="14.25" customHeight="1">
      <c r="A45" s="1" t="s">
        <v>184</v>
      </c>
      <c r="B45" s="1" t="s">
        <v>185</v>
      </c>
      <c r="C45" s="1" t="s">
        <v>186</v>
      </c>
      <c r="D45" s="1" t="s">
        <v>187</v>
      </c>
      <c r="E45" s="1" t="s">
        <v>17</v>
      </c>
      <c r="F45" s="1" t="s">
        <v>12</v>
      </c>
      <c r="G45" s="4">
        <v>450</v>
      </c>
      <c r="H45" s="6">
        <v>45233</v>
      </c>
      <c r="I45" s="1">
        <v>1</v>
      </c>
    </row>
    <row r="46" spans="1:9" ht="14.25" customHeight="1">
      <c r="A46" s="1" t="s">
        <v>188</v>
      </c>
      <c r="B46" s="1" t="s">
        <v>189</v>
      </c>
      <c r="C46" s="1" t="s">
        <v>190</v>
      </c>
      <c r="D46" s="1" t="s">
        <v>191</v>
      </c>
      <c r="E46" s="1" t="s">
        <v>11</v>
      </c>
      <c r="F46" s="1" t="s">
        <v>22</v>
      </c>
      <c r="G46" s="4">
        <v>700</v>
      </c>
      <c r="H46" s="6">
        <v>45260</v>
      </c>
      <c r="I46" s="1">
        <v>1</v>
      </c>
    </row>
    <row r="47" spans="1:9" ht="14.25" customHeight="1">
      <c r="A47" s="1" t="s">
        <v>192</v>
      </c>
      <c r="B47" s="1" t="s">
        <v>193</v>
      </c>
      <c r="C47" s="1" t="s">
        <v>194</v>
      </c>
      <c r="D47" s="1" t="s">
        <v>195</v>
      </c>
      <c r="E47" s="1" t="s">
        <v>17</v>
      </c>
      <c r="F47" s="1" t="s">
        <v>27</v>
      </c>
      <c r="G47" s="4">
        <v>300</v>
      </c>
      <c r="H47" s="6">
        <v>45263</v>
      </c>
      <c r="I47" s="1">
        <v>1</v>
      </c>
    </row>
    <row r="48" spans="1:9" ht="14.25" customHeight="1">
      <c r="A48" s="1" t="s">
        <v>196</v>
      </c>
      <c r="B48" s="1" t="s">
        <v>197</v>
      </c>
      <c r="C48" s="1" t="s">
        <v>198</v>
      </c>
      <c r="D48" s="1" t="s">
        <v>199</v>
      </c>
      <c r="E48" s="1" t="s">
        <v>11</v>
      </c>
      <c r="F48" s="1" t="s">
        <v>12</v>
      </c>
      <c r="G48" s="4">
        <v>450</v>
      </c>
      <c r="H48" s="6">
        <v>45269</v>
      </c>
      <c r="I48" s="1">
        <v>1</v>
      </c>
    </row>
    <row r="49" spans="1:9" ht="14.25" customHeight="1">
      <c r="A49" s="1" t="s">
        <v>200</v>
      </c>
      <c r="B49" s="1" t="s">
        <v>201</v>
      </c>
      <c r="C49" s="1" t="s">
        <v>202</v>
      </c>
      <c r="D49" s="1" t="s">
        <v>203</v>
      </c>
      <c r="E49" s="1" t="s">
        <v>17</v>
      </c>
      <c r="F49" s="1" t="s">
        <v>22</v>
      </c>
      <c r="G49" s="4">
        <v>700</v>
      </c>
      <c r="H49" s="6">
        <v>45299</v>
      </c>
      <c r="I49" s="1">
        <v>1</v>
      </c>
    </row>
    <row r="50" spans="1:9" ht="14.25" customHeight="1">
      <c r="A50" s="1" t="s">
        <v>204</v>
      </c>
      <c r="B50" s="1" t="s">
        <v>205</v>
      </c>
      <c r="C50" s="1" t="s">
        <v>206</v>
      </c>
      <c r="D50" s="1" t="s">
        <v>207</v>
      </c>
      <c r="E50" s="1" t="s">
        <v>11</v>
      </c>
      <c r="F50" s="1" t="s">
        <v>27</v>
      </c>
      <c r="G50" s="4">
        <v>300</v>
      </c>
      <c r="H50" s="6">
        <v>45307</v>
      </c>
      <c r="I50" s="1">
        <v>1</v>
      </c>
    </row>
    <row r="51" spans="1:9" ht="14.25" customHeight="1">
      <c r="A51" s="1" t="s">
        <v>208</v>
      </c>
      <c r="B51" s="1" t="s">
        <v>209</v>
      </c>
      <c r="C51" s="1" t="s">
        <v>210</v>
      </c>
      <c r="D51" s="1" t="s">
        <v>211</v>
      </c>
      <c r="E51" s="1" t="s">
        <v>17</v>
      </c>
      <c r="F51" s="1" t="s">
        <v>12</v>
      </c>
      <c r="G51" s="4">
        <v>450</v>
      </c>
      <c r="H51" s="6">
        <v>45313</v>
      </c>
      <c r="I51" s="1">
        <v>1</v>
      </c>
    </row>
    <row r="52" spans="1:9" ht="14.25" customHeight="1">
      <c r="A52" s="1" t="s">
        <v>212</v>
      </c>
      <c r="B52" s="1" t="s">
        <v>213</v>
      </c>
      <c r="C52" s="1" t="s">
        <v>214</v>
      </c>
      <c r="D52" s="1" t="s">
        <v>215</v>
      </c>
      <c r="E52" s="1" t="s">
        <v>11</v>
      </c>
      <c r="F52" s="1" t="s">
        <v>22</v>
      </c>
      <c r="G52" s="4">
        <v>700</v>
      </c>
      <c r="H52" s="6">
        <v>45313</v>
      </c>
      <c r="I52" s="1">
        <v>1</v>
      </c>
    </row>
    <row r="53" spans="1:9" ht="14.25" customHeight="1">
      <c r="A53" s="1" t="s">
        <v>216</v>
      </c>
      <c r="B53" s="1" t="s">
        <v>217</v>
      </c>
      <c r="C53" s="1" t="s">
        <v>218</v>
      </c>
      <c r="D53" s="1" t="s">
        <v>219</v>
      </c>
      <c r="E53" s="1" t="s">
        <v>17</v>
      </c>
      <c r="F53" s="1" t="s">
        <v>27</v>
      </c>
      <c r="G53" s="4">
        <v>300</v>
      </c>
      <c r="H53" s="6">
        <v>45315</v>
      </c>
      <c r="I53" s="1">
        <v>1</v>
      </c>
    </row>
    <row r="54" spans="1:9" ht="14.25" customHeight="1">
      <c r="A54" s="1" t="s">
        <v>220</v>
      </c>
      <c r="B54" s="1" t="s">
        <v>221</v>
      </c>
      <c r="C54" s="1" t="s">
        <v>222</v>
      </c>
      <c r="D54" s="1" t="s">
        <v>223</v>
      </c>
      <c r="E54" s="1" t="s">
        <v>11</v>
      </c>
      <c r="F54" s="1" t="s">
        <v>12</v>
      </c>
      <c r="G54" s="4">
        <v>450</v>
      </c>
      <c r="H54" s="6">
        <v>45322</v>
      </c>
      <c r="I54" s="1">
        <v>1</v>
      </c>
    </row>
    <row r="55" spans="1:9" ht="14.25" customHeight="1">
      <c r="A55" s="1" t="s">
        <v>224</v>
      </c>
      <c r="B55" s="1" t="s">
        <v>225</v>
      </c>
      <c r="C55" s="1" t="s">
        <v>226</v>
      </c>
      <c r="D55" s="1" t="s">
        <v>227</v>
      </c>
      <c r="E55" s="1" t="s">
        <v>17</v>
      </c>
      <c r="F55" s="1" t="s">
        <v>22</v>
      </c>
      <c r="G55" s="4">
        <v>700</v>
      </c>
      <c r="H55" s="6">
        <v>45322</v>
      </c>
      <c r="I55" s="1">
        <v>1</v>
      </c>
    </row>
    <row r="56" spans="1:9" ht="14.25" customHeight="1">
      <c r="A56" s="1" t="s">
        <v>228</v>
      </c>
      <c r="B56" s="1" t="s">
        <v>229</v>
      </c>
      <c r="C56" s="1" t="s">
        <v>230</v>
      </c>
      <c r="D56" s="1" t="s">
        <v>231</v>
      </c>
      <c r="E56" s="1" t="s">
        <v>11</v>
      </c>
      <c r="F56" s="1" t="s">
        <v>27</v>
      </c>
      <c r="G56" s="4">
        <v>300</v>
      </c>
      <c r="H56" s="6">
        <v>45330</v>
      </c>
      <c r="I56" s="1">
        <v>1</v>
      </c>
    </row>
    <row r="57" spans="1:9" ht="14.25" customHeight="1">
      <c r="A57" s="1" t="s">
        <v>232</v>
      </c>
      <c r="B57" s="1" t="s">
        <v>233</v>
      </c>
      <c r="C57" s="1" t="s">
        <v>234</v>
      </c>
      <c r="D57" s="1" t="s">
        <v>235</v>
      </c>
      <c r="E57" s="1" t="s">
        <v>17</v>
      </c>
      <c r="F57" s="1" t="s">
        <v>12</v>
      </c>
      <c r="G57" s="4">
        <v>450</v>
      </c>
      <c r="H57" s="6">
        <v>45331</v>
      </c>
      <c r="I57" s="1">
        <v>1</v>
      </c>
    </row>
    <row r="58" spans="1:9" ht="14.25" customHeight="1">
      <c r="A58" s="1" t="s">
        <v>236</v>
      </c>
      <c r="B58" s="1" t="s">
        <v>237</v>
      </c>
      <c r="C58" s="1" t="s">
        <v>238</v>
      </c>
      <c r="D58" s="1" t="s">
        <v>239</v>
      </c>
      <c r="E58" s="1" t="s">
        <v>11</v>
      </c>
      <c r="F58" s="1" t="s">
        <v>22</v>
      </c>
      <c r="G58" s="4">
        <v>700</v>
      </c>
      <c r="H58" s="6">
        <v>45333</v>
      </c>
      <c r="I58" s="1">
        <v>1</v>
      </c>
    </row>
    <row r="59" spans="1:9" ht="14.25" customHeight="1">
      <c r="A59" s="1" t="s">
        <v>240</v>
      </c>
      <c r="B59" s="1" t="s">
        <v>241</v>
      </c>
      <c r="C59" s="1" t="s">
        <v>242</v>
      </c>
      <c r="D59" s="1" t="s">
        <v>243</v>
      </c>
      <c r="E59" s="1" t="s">
        <v>17</v>
      </c>
      <c r="F59" s="1" t="s">
        <v>27</v>
      </c>
      <c r="G59" s="4">
        <v>300</v>
      </c>
      <c r="H59" s="6">
        <v>45338</v>
      </c>
      <c r="I59" s="1">
        <v>1</v>
      </c>
    </row>
    <row r="60" spans="1:9" ht="14.25" customHeight="1">
      <c r="A60" s="1" t="s">
        <v>244</v>
      </c>
      <c r="B60" s="1" t="s">
        <v>245</v>
      </c>
      <c r="C60" s="1" t="s">
        <v>246</v>
      </c>
      <c r="D60" s="1" t="s">
        <v>247</v>
      </c>
      <c r="E60" s="1" t="s">
        <v>11</v>
      </c>
      <c r="F60" s="1" t="s">
        <v>12</v>
      </c>
      <c r="G60" s="4">
        <v>450</v>
      </c>
      <c r="H60" s="6">
        <v>45343</v>
      </c>
      <c r="I60" s="1">
        <v>1</v>
      </c>
    </row>
    <row r="61" spans="1:9" ht="14.25" customHeight="1">
      <c r="A61" s="1" t="s">
        <v>248</v>
      </c>
      <c r="B61" s="1" t="s">
        <v>249</v>
      </c>
      <c r="C61" s="1" t="s">
        <v>250</v>
      </c>
      <c r="D61" s="1" t="s">
        <v>251</v>
      </c>
      <c r="E61" s="1" t="s">
        <v>17</v>
      </c>
      <c r="F61" s="1" t="s">
        <v>22</v>
      </c>
      <c r="G61" s="4">
        <v>700</v>
      </c>
      <c r="H61" s="6">
        <v>45345</v>
      </c>
      <c r="I61" s="1">
        <v>1</v>
      </c>
    </row>
    <row r="62" spans="1:9" ht="14.25" customHeight="1">
      <c r="A62" s="1" t="s">
        <v>252</v>
      </c>
      <c r="B62" s="1" t="s">
        <v>253</v>
      </c>
      <c r="C62" s="1" t="s">
        <v>254</v>
      </c>
      <c r="D62" s="1" t="s">
        <v>255</v>
      </c>
      <c r="E62" s="1" t="s">
        <v>11</v>
      </c>
      <c r="F62" s="1" t="s">
        <v>27</v>
      </c>
      <c r="G62" s="4">
        <v>300</v>
      </c>
      <c r="H62" s="6">
        <v>45349</v>
      </c>
      <c r="I62" s="1">
        <v>1</v>
      </c>
    </row>
    <row r="63" spans="1:9" ht="14.25" customHeight="1">
      <c r="A63" s="1" t="s">
        <v>256</v>
      </c>
      <c r="B63" s="1" t="s">
        <v>257</v>
      </c>
      <c r="C63" s="1" t="s">
        <v>258</v>
      </c>
      <c r="D63" s="1" t="s">
        <v>259</v>
      </c>
      <c r="E63" s="1" t="s">
        <v>17</v>
      </c>
      <c r="F63" s="1" t="s">
        <v>12</v>
      </c>
      <c r="G63" s="4">
        <v>450</v>
      </c>
      <c r="H63" s="6">
        <v>45350</v>
      </c>
      <c r="I63" s="1">
        <v>1</v>
      </c>
    </row>
    <row r="64" spans="1:9" ht="14.25" customHeight="1">
      <c r="A64" s="1" t="s">
        <v>260</v>
      </c>
      <c r="B64" s="1" t="s">
        <v>261</v>
      </c>
      <c r="C64" s="1" t="s">
        <v>262</v>
      </c>
      <c r="D64" s="1" t="s">
        <v>263</v>
      </c>
      <c r="E64" s="1" t="s">
        <v>11</v>
      </c>
      <c r="F64" s="1" t="s">
        <v>22</v>
      </c>
      <c r="G64" s="4">
        <v>700</v>
      </c>
      <c r="H64" s="6">
        <v>45350</v>
      </c>
      <c r="I64" s="1">
        <v>1</v>
      </c>
    </row>
    <row r="65" spans="1:9" ht="14.25" customHeight="1">
      <c r="A65" s="1" t="s">
        <v>264</v>
      </c>
      <c r="B65" s="1" t="s">
        <v>265</v>
      </c>
      <c r="C65" s="1" t="s">
        <v>266</v>
      </c>
      <c r="D65" s="1" t="s">
        <v>267</v>
      </c>
      <c r="E65" s="1" t="s">
        <v>17</v>
      </c>
      <c r="F65" s="1" t="s">
        <v>27</v>
      </c>
      <c r="G65" s="4">
        <v>300</v>
      </c>
      <c r="H65" s="6">
        <v>45353</v>
      </c>
      <c r="I65" s="1">
        <v>1</v>
      </c>
    </row>
    <row r="66" spans="1:9" ht="14.25" customHeight="1">
      <c r="A66" s="1" t="s">
        <v>268</v>
      </c>
      <c r="B66" s="1" t="s">
        <v>269</v>
      </c>
      <c r="C66" s="1" t="s">
        <v>270</v>
      </c>
      <c r="D66" s="1" t="s">
        <v>271</v>
      </c>
      <c r="E66" s="1" t="s">
        <v>11</v>
      </c>
      <c r="F66" s="1" t="s">
        <v>12</v>
      </c>
      <c r="G66" s="4">
        <v>450</v>
      </c>
      <c r="H66" s="6">
        <v>45353</v>
      </c>
      <c r="I66" s="1">
        <v>1</v>
      </c>
    </row>
    <row r="67" spans="1:9" ht="14.25" customHeight="1">
      <c r="A67" s="1" t="s">
        <v>272</v>
      </c>
      <c r="B67" s="1" t="s">
        <v>273</v>
      </c>
      <c r="C67" s="1" t="s">
        <v>274</v>
      </c>
      <c r="D67" s="1" t="s">
        <v>275</v>
      </c>
      <c r="E67" s="1" t="s">
        <v>17</v>
      </c>
      <c r="F67" s="1" t="s">
        <v>22</v>
      </c>
      <c r="G67" s="4">
        <v>700</v>
      </c>
      <c r="H67" s="6">
        <v>45368</v>
      </c>
      <c r="I67" s="1">
        <v>1</v>
      </c>
    </row>
    <row r="68" spans="1:9" ht="14.25" customHeight="1">
      <c r="A68" s="1" t="s">
        <v>276</v>
      </c>
      <c r="B68" s="1" t="s">
        <v>277</v>
      </c>
      <c r="C68" s="1" t="s">
        <v>278</v>
      </c>
      <c r="D68" s="1" t="s">
        <v>279</v>
      </c>
      <c r="E68" s="1" t="s">
        <v>11</v>
      </c>
      <c r="F68" s="1" t="s">
        <v>27</v>
      </c>
      <c r="G68" s="4">
        <v>300</v>
      </c>
      <c r="H68" s="6">
        <v>45373</v>
      </c>
      <c r="I68" s="1">
        <v>1</v>
      </c>
    </row>
    <row r="69" spans="1:9" ht="14.25" customHeight="1">
      <c r="A69" s="1" t="s">
        <v>280</v>
      </c>
      <c r="B69" s="1" t="s">
        <v>281</v>
      </c>
      <c r="C69" s="1" t="s">
        <v>282</v>
      </c>
      <c r="D69" s="1" t="s">
        <v>283</v>
      </c>
      <c r="E69" s="1" t="s">
        <v>17</v>
      </c>
      <c r="F69" s="1" t="s">
        <v>12</v>
      </c>
      <c r="G69" s="4">
        <v>450</v>
      </c>
      <c r="H69" s="6">
        <v>45375</v>
      </c>
      <c r="I69" s="1">
        <v>1</v>
      </c>
    </row>
    <row r="70" spans="1:9" ht="14.25" customHeight="1">
      <c r="A70" s="1" t="s">
        <v>284</v>
      </c>
      <c r="B70" s="1" t="s">
        <v>285</v>
      </c>
      <c r="C70" s="1" t="s">
        <v>286</v>
      </c>
      <c r="D70" s="1" t="s">
        <v>287</v>
      </c>
      <c r="E70" s="1" t="s">
        <v>11</v>
      </c>
      <c r="F70" s="1" t="s">
        <v>22</v>
      </c>
      <c r="G70" s="4">
        <v>700</v>
      </c>
      <c r="H70" s="6">
        <v>45391</v>
      </c>
      <c r="I70" s="1">
        <v>1</v>
      </c>
    </row>
    <row r="71" spans="1:9" ht="14.25" customHeight="1">
      <c r="A71" s="1" t="s">
        <v>288</v>
      </c>
      <c r="B71" s="1" t="s">
        <v>289</v>
      </c>
      <c r="C71" s="1" t="s">
        <v>290</v>
      </c>
      <c r="D71" s="1" t="s">
        <v>291</v>
      </c>
      <c r="E71" s="1" t="s">
        <v>17</v>
      </c>
      <c r="F71" s="1" t="s">
        <v>27</v>
      </c>
      <c r="G71" s="4">
        <v>300</v>
      </c>
      <c r="H71" s="6">
        <v>45399</v>
      </c>
      <c r="I71" s="1">
        <v>1</v>
      </c>
    </row>
    <row r="72" spans="1:9" ht="14.25" customHeight="1">
      <c r="A72" s="1" t="s">
        <v>292</v>
      </c>
      <c r="B72" s="1" t="s">
        <v>293</v>
      </c>
      <c r="C72" s="1" t="s">
        <v>294</v>
      </c>
      <c r="D72" s="1" t="s">
        <v>295</v>
      </c>
      <c r="E72" s="1" t="s">
        <v>11</v>
      </c>
      <c r="F72" s="1" t="s">
        <v>12</v>
      </c>
      <c r="G72" s="4">
        <v>450</v>
      </c>
      <c r="H72" s="6">
        <v>45410</v>
      </c>
      <c r="I72" s="1">
        <v>1</v>
      </c>
    </row>
    <row r="73" spans="1:9" ht="14.25" customHeight="1">
      <c r="A73" s="1" t="s">
        <v>296</v>
      </c>
      <c r="B73" s="1" t="s">
        <v>297</v>
      </c>
      <c r="C73" s="1" t="s">
        <v>298</v>
      </c>
      <c r="D73" s="1" t="s">
        <v>299</v>
      </c>
      <c r="E73" s="1" t="s">
        <v>17</v>
      </c>
      <c r="F73" s="1" t="s">
        <v>22</v>
      </c>
      <c r="G73" s="4">
        <v>700</v>
      </c>
      <c r="H73" s="6">
        <v>45416</v>
      </c>
      <c r="I73" s="1">
        <v>1</v>
      </c>
    </row>
    <row r="74" spans="1:9" ht="14.25" customHeight="1">
      <c r="A74" s="1" t="s">
        <v>300</v>
      </c>
      <c r="B74" s="1" t="s">
        <v>301</v>
      </c>
      <c r="C74" s="1" t="s">
        <v>302</v>
      </c>
      <c r="D74" s="1" t="s">
        <v>303</v>
      </c>
      <c r="E74" s="1" t="s">
        <v>11</v>
      </c>
      <c r="F74" s="1" t="s">
        <v>27</v>
      </c>
      <c r="G74" s="4">
        <v>300</v>
      </c>
      <c r="H74" s="6">
        <v>45425</v>
      </c>
      <c r="I74" s="1">
        <v>1</v>
      </c>
    </row>
    <row r="75" spans="1:9" ht="14.25" customHeight="1">
      <c r="A75" s="1" t="s">
        <v>304</v>
      </c>
      <c r="B75" s="1" t="s">
        <v>305</v>
      </c>
      <c r="C75" s="1" t="s">
        <v>306</v>
      </c>
      <c r="D75" s="1" t="s">
        <v>307</v>
      </c>
      <c r="E75" s="1" t="s">
        <v>17</v>
      </c>
      <c r="F75" s="1" t="s">
        <v>12</v>
      </c>
      <c r="G75" s="4">
        <v>450</v>
      </c>
      <c r="H75" s="6">
        <v>45437</v>
      </c>
      <c r="I75" s="1">
        <v>1</v>
      </c>
    </row>
    <row r="76" spans="1:9" ht="14.25" customHeight="1">
      <c r="A76" s="1" t="s">
        <v>308</v>
      </c>
      <c r="B76" s="1" t="s">
        <v>309</v>
      </c>
      <c r="C76" s="1" t="s">
        <v>310</v>
      </c>
      <c r="D76" s="1" t="s">
        <v>311</v>
      </c>
      <c r="E76" s="1" t="s">
        <v>11</v>
      </c>
      <c r="F76" s="1" t="s">
        <v>22</v>
      </c>
      <c r="G76" s="4">
        <v>700</v>
      </c>
      <c r="H76" s="6">
        <v>45456</v>
      </c>
      <c r="I76" s="1">
        <v>1</v>
      </c>
    </row>
    <row r="77" spans="1:9" ht="14.25" customHeight="1">
      <c r="A77" s="1" t="s">
        <v>312</v>
      </c>
      <c r="B77" s="1" t="s">
        <v>313</v>
      </c>
      <c r="C77" s="1" t="s">
        <v>314</v>
      </c>
      <c r="D77" s="1" t="s">
        <v>315</v>
      </c>
      <c r="E77" s="1" t="s">
        <v>17</v>
      </c>
      <c r="F77" s="1" t="s">
        <v>27</v>
      </c>
      <c r="G77" s="4">
        <v>300</v>
      </c>
      <c r="H77" s="6">
        <v>45459</v>
      </c>
      <c r="I77" s="1">
        <v>1</v>
      </c>
    </row>
    <row r="78" spans="1:9" ht="14.25" customHeight="1">
      <c r="A78" s="1" t="s">
        <v>316</v>
      </c>
      <c r="B78" s="1" t="s">
        <v>317</v>
      </c>
      <c r="C78" s="1" t="s">
        <v>318</v>
      </c>
      <c r="D78" s="1" t="s">
        <v>319</v>
      </c>
      <c r="E78" s="1" t="s">
        <v>11</v>
      </c>
      <c r="F78" s="1" t="s">
        <v>12</v>
      </c>
      <c r="G78" s="4">
        <v>450</v>
      </c>
      <c r="H78" s="6">
        <v>45461</v>
      </c>
      <c r="I78" s="1">
        <v>1</v>
      </c>
    </row>
    <row r="79" spans="1:9" ht="14.25" customHeight="1">
      <c r="A79" s="1" t="s">
        <v>320</v>
      </c>
      <c r="B79" s="1" t="s">
        <v>321</v>
      </c>
      <c r="C79" s="1" t="s">
        <v>322</v>
      </c>
      <c r="D79" s="1" t="s">
        <v>323</v>
      </c>
      <c r="E79" s="1" t="s">
        <v>17</v>
      </c>
      <c r="F79" s="1" t="s">
        <v>22</v>
      </c>
      <c r="G79" s="4">
        <v>700</v>
      </c>
      <c r="H79" s="6">
        <v>45466</v>
      </c>
      <c r="I79" s="1">
        <v>1</v>
      </c>
    </row>
    <row r="80" spans="1:9" ht="14.25" customHeight="1">
      <c r="A80" s="1" t="s">
        <v>324</v>
      </c>
      <c r="B80" s="1" t="s">
        <v>325</v>
      </c>
      <c r="C80" s="1" t="s">
        <v>326</v>
      </c>
      <c r="D80" s="1" t="s">
        <v>327</v>
      </c>
      <c r="E80" s="1" t="s">
        <v>11</v>
      </c>
      <c r="F80" s="1" t="s">
        <v>27</v>
      </c>
      <c r="G80" s="4">
        <v>300</v>
      </c>
      <c r="H80" s="6">
        <v>45470</v>
      </c>
      <c r="I80" s="1">
        <v>1</v>
      </c>
    </row>
    <row r="81" spans="1:9" ht="14.25" customHeight="1">
      <c r="A81" s="1" t="s">
        <v>328</v>
      </c>
      <c r="B81" s="1" t="s">
        <v>329</v>
      </c>
      <c r="C81" s="1" t="s">
        <v>330</v>
      </c>
      <c r="D81" s="1" t="s">
        <v>331</v>
      </c>
      <c r="E81" s="1" t="s">
        <v>17</v>
      </c>
      <c r="F81" s="1" t="s">
        <v>12</v>
      </c>
      <c r="G81" s="4">
        <v>450</v>
      </c>
      <c r="H81" s="6">
        <v>45471</v>
      </c>
      <c r="I81" s="1">
        <v>1</v>
      </c>
    </row>
    <row r="82" spans="1:9" ht="14.25" customHeight="1">
      <c r="A82" s="1" t="s">
        <v>332</v>
      </c>
      <c r="B82" s="1" t="s">
        <v>333</v>
      </c>
      <c r="C82" s="1" t="s">
        <v>334</v>
      </c>
      <c r="D82" s="1" t="s">
        <v>335</v>
      </c>
      <c r="E82" s="1" t="s">
        <v>11</v>
      </c>
      <c r="F82" s="1" t="s">
        <v>22</v>
      </c>
      <c r="G82" s="4">
        <v>700</v>
      </c>
      <c r="H82" s="6">
        <v>45474</v>
      </c>
      <c r="I82" s="1">
        <v>1</v>
      </c>
    </row>
    <row r="83" spans="1:9" ht="14.25" customHeight="1">
      <c r="A83" s="1" t="s">
        <v>336</v>
      </c>
      <c r="B83" s="1" t="s">
        <v>337</v>
      </c>
      <c r="C83" s="1" t="s">
        <v>338</v>
      </c>
      <c r="D83" s="1" t="s">
        <v>339</v>
      </c>
      <c r="E83" s="1" t="s">
        <v>17</v>
      </c>
      <c r="F83" s="1" t="s">
        <v>27</v>
      </c>
      <c r="G83" s="4">
        <v>300</v>
      </c>
      <c r="H83" s="6">
        <v>45476</v>
      </c>
      <c r="I83" s="1">
        <v>1</v>
      </c>
    </row>
    <row r="84" spans="1:9" ht="14.25" customHeight="1">
      <c r="A84" s="1" t="s">
        <v>340</v>
      </c>
      <c r="B84" s="1" t="s">
        <v>341</v>
      </c>
      <c r="C84" s="1" t="s">
        <v>342</v>
      </c>
      <c r="D84" s="1" t="s">
        <v>343</v>
      </c>
      <c r="E84" s="1" t="s">
        <v>11</v>
      </c>
      <c r="F84" s="1" t="s">
        <v>12</v>
      </c>
      <c r="G84" s="4">
        <v>450</v>
      </c>
      <c r="H84" s="6">
        <v>45484</v>
      </c>
      <c r="I84" s="1">
        <v>1</v>
      </c>
    </row>
    <row r="85" spans="1:9" ht="14.25" customHeight="1">
      <c r="A85" s="1" t="s">
        <v>344</v>
      </c>
      <c r="B85" s="1" t="s">
        <v>345</v>
      </c>
      <c r="C85" s="1" t="s">
        <v>346</v>
      </c>
      <c r="D85" s="1" t="s">
        <v>347</v>
      </c>
      <c r="E85" s="1" t="s">
        <v>17</v>
      </c>
      <c r="F85" s="1" t="s">
        <v>22</v>
      </c>
      <c r="G85" s="4">
        <v>700</v>
      </c>
      <c r="H85" s="6">
        <v>45506</v>
      </c>
      <c r="I85" s="1">
        <v>1</v>
      </c>
    </row>
    <row r="86" spans="1:9" ht="14.25" customHeight="1">
      <c r="A86" s="1" t="s">
        <v>348</v>
      </c>
      <c r="B86" s="1" t="s">
        <v>349</v>
      </c>
      <c r="C86" s="1" t="s">
        <v>350</v>
      </c>
      <c r="D86" s="1" t="s">
        <v>351</v>
      </c>
      <c r="E86" s="1" t="s">
        <v>11</v>
      </c>
      <c r="F86" s="1" t="s">
        <v>27</v>
      </c>
      <c r="G86" s="4">
        <v>300</v>
      </c>
      <c r="H86" s="6">
        <v>45513</v>
      </c>
      <c r="I86" s="1">
        <v>1</v>
      </c>
    </row>
    <row r="87" spans="1:9" ht="14.25" customHeight="1">
      <c r="A87" s="1" t="s">
        <v>352</v>
      </c>
      <c r="B87" s="1" t="s">
        <v>353</v>
      </c>
      <c r="C87" s="1" t="s">
        <v>354</v>
      </c>
      <c r="D87" s="1" t="s">
        <v>355</v>
      </c>
      <c r="E87" s="1" t="s">
        <v>17</v>
      </c>
      <c r="F87" s="1" t="s">
        <v>12</v>
      </c>
      <c r="G87" s="4">
        <v>450</v>
      </c>
      <c r="H87" s="6">
        <v>45518</v>
      </c>
      <c r="I87" s="1">
        <v>1</v>
      </c>
    </row>
    <row r="88" spans="1:9" ht="14.25" customHeight="1">
      <c r="A88" s="1" t="s">
        <v>356</v>
      </c>
      <c r="B88" s="1" t="s">
        <v>357</v>
      </c>
      <c r="C88" s="1" t="s">
        <v>358</v>
      </c>
      <c r="D88" s="1" t="s">
        <v>359</v>
      </c>
      <c r="E88" s="1" t="s">
        <v>11</v>
      </c>
      <c r="F88" s="1" t="s">
        <v>22</v>
      </c>
      <c r="G88" s="4">
        <v>700</v>
      </c>
      <c r="H88" s="6">
        <v>45526</v>
      </c>
      <c r="I88" s="1">
        <v>1</v>
      </c>
    </row>
    <row r="89" spans="1:9" ht="14.25" customHeight="1">
      <c r="A89" s="1" t="s">
        <v>360</v>
      </c>
      <c r="B89" s="1" t="s">
        <v>361</v>
      </c>
      <c r="C89" s="1" t="s">
        <v>362</v>
      </c>
      <c r="D89" s="1" t="s">
        <v>363</v>
      </c>
      <c r="E89" s="1" t="s">
        <v>17</v>
      </c>
      <c r="F89" s="1" t="s">
        <v>27</v>
      </c>
      <c r="G89" s="4">
        <v>300</v>
      </c>
      <c r="H89" s="6">
        <v>45530</v>
      </c>
      <c r="I89" s="1">
        <v>1</v>
      </c>
    </row>
    <row r="90" spans="1:9" ht="14.25" customHeight="1">
      <c r="A90" s="1" t="s">
        <v>364</v>
      </c>
      <c r="B90" s="1" t="s">
        <v>365</v>
      </c>
      <c r="C90" s="1" t="s">
        <v>366</v>
      </c>
      <c r="D90" s="1" t="s">
        <v>367</v>
      </c>
      <c r="E90" s="1" t="s">
        <v>11</v>
      </c>
      <c r="F90" s="1" t="s">
        <v>12</v>
      </c>
      <c r="G90" s="4">
        <v>450</v>
      </c>
      <c r="H90" s="6">
        <v>45533</v>
      </c>
      <c r="I90" s="1">
        <v>1</v>
      </c>
    </row>
    <row r="91" spans="1:9" ht="14.25" customHeight="1">
      <c r="A91" s="1" t="s">
        <v>368</v>
      </c>
      <c r="B91" s="1" t="s">
        <v>369</v>
      </c>
      <c r="C91" s="1" t="s">
        <v>370</v>
      </c>
      <c r="D91" s="1" t="s">
        <v>371</v>
      </c>
      <c r="E91" s="1" t="s">
        <v>17</v>
      </c>
      <c r="F91" s="1" t="s">
        <v>22</v>
      </c>
      <c r="G91" s="4">
        <v>700</v>
      </c>
      <c r="H91" s="6">
        <v>45534</v>
      </c>
      <c r="I91" s="1">
        <v>1</v>
      </c>
    </row>
    <row r="92" spans="1:9" ht="14.25" customHeight="1">
      <c r="A92" s="1" t="s">
        <v>372</v>
      </c>
      <c r="B92" s="1" t="s">
        <v>373</v>
      </c>
      <c r="C92" s="1" t="s">
        <v>374</v>
      </c>
      <c r="D92" s="1" t="s">
        <v>375</v>
      </c>
      <c r="E92" s="1" t="s">
        <v>11</v>
      </c>
      <c r="F92" s="1" t="s">
        <v>27</v>
      </c>
      <c r="G92" s="4">
        <v>300</v>
      </c>
      <c r="H92" s="6">
        <v>45560</v>
      </c>
      <c r="I92" s="1">
        <v>1</v>
      </c>
    </row>
    <row r="93" spans="1:9" ht="14.25" customHeight="1">
      <c r="A93" s="1" t="s">
        <v>376</v>
      </c>
      <c r="B93" s="1" t="s">
        <v>377</v>
      </c>
      <c r="C93" s="1" t="s">
        <v>378</v>
      </c>
      <c r="D93" s="1" t="s">
        <v>379</v>
      </c>
      <c r="E93" s="1" t="s">
        <v>17</v>
      </c>
      <c r="F93" s="1" t="s">
        <v>12</v>
      </c>
      <c r="G93" s="4">
        <v>450</v>
      </c>
      <c r="H93" s="6">
        <v>45562</v>
      </c>
      <c r="I93" s="1">
        <v>1</v>
      </c>
    </row>
    <row r="94" spans="1:9" ht="14.25" customHeight="1">
      <c r="A94" s="1" t="s">
        <v>380</v>
      </c>
      <c r="B94" s="1" t="s">
        <v>381</v>
      </c>
      <c r="C94" s="1" t="s">
        <v>382</v>
      </c>
      <c r="D94" s="1" t="s">
        <v>383</v>
      </c>
      <c r="E94" s="1" t="s">
        <v>11</v>
      </c>
      <c r="F94" s="1" t="s">
        <v>22</v>
      </c>
      <c r="G94" s="4">
        <v>700</v>
      </c>
      <c r="H94" s="6">
        <v>45566</v>
      </c>
      <c r="I94" s="1">
        <v>1</v>
      </c>
    </row>
    <row r="95" spans="1:9" ht="14.25" customHeight="1">
      <c r="A95" s="1" t="s">
        <v>384</v>
      </c>
      <c r="B95" s="1" t="s">
        <v>385</v>
      </c>
      <c r="C95" s="1" t="s">
        <v>386</v>
      </c>
      <c r="D95" s="1" t="s">
        <v>387</v>
      </c>
      <c r="E95" s="1" t="s">
        <v>17</v>
      </c>
      <c r="F95" s="1" t="s">
        <v>27</v>
      </c>
      <c r="G95" s="4">
        <v>300</v>
      </c>
      <c r="H95" s="6">
        <v>45571</v>
      </c>
      <c r="I95" s="1">
        <v>1</v>
      </c>
    </row>
    <row r="96" spans="1:9" ht="14.25" customHeight="1">
      <c r="A96" s="1" t="s">
        <v>388</v>
      </c>
      <c r="B96" s="1" t="s">
        <v>389</v>
      </c>
      <c r="C96" s="1" t="s">
        <v>390</v>
      </c>
      <c r="D96" s="1" t="s">
        <v>391</v>
      </c>
      <c r="E96" s="1" t="s">
        <v>11</v>
      </c>
      <c r="F96" s="1" t="s">
        <v>12</v>
      </c>
      <c r="G96" s="4">
        <v>450</v>
      </c>
      <c r="H96" s="6">
        <v>45581</v>
      </c>
      <c r="I96" s="1">
        <v>1</v>
      </c>
    </row>
    <row r="97" spans="1:9" ht="14.25" customHeight="1">
      <c r="A97" s="1" t="s">
        <v>392</v>
      </c>
      <c r="B97" s="1" t="s">
        <v>393</v>
      </c>
      <c r="C97" s="1" t="s">
        <v>394</v>
      </c>
      <c r="D97" s="1" t="s">
        <v>395</v>
      </c>
      <c r="E97" s="1" t="s">
        <v>17</v>
      </c>
      <c r="F97" s="1" t="s">
        <v>22</v>
      </c>
      <c r="G97" s="4">
        <v>700</v>
      </c>
      <c r="H97" s="6">
        <v>45588</v>
      </c>
      <c r="I97" s="1">
        <v>1</v>
      </c>
    </row>
    <row r="98" spans="1:9" ht="14.25" customHeight="1">
      <c r="A98" s="1" t="s">
        <v>396</v>
      </c>
      <c r="B98" s="1" t="s">
        <v>397</v>
      </c>
      <c r="C98" s="1" t="s">
        <v>398</v>
      </c>
      <c r="D98" s="1" t="s">
        <v>399</v>
      </c>
      <c r="E98" s="1" t="s">
        <v>11</v>
      </c>
      <c r="F98" s="1" t="s">
        <v>27</v>
      </c>
      <c r="G98" s="4">
        <v>300</v>
      </c>
      <c r="H98" s="6">
        <v>45590</v>
      </c>
      <c r="I98" s="1">
        <v>1</v>
      </c>
    </row>
    <row r="99" spans="1:9" ht="14.25" customHeight="1">
      <c r="A99" s="1" t="s">
        <v>400</v>
      </c>
      <c r="B99" s="1" t="s">
        <v>401</v>
      </c>
      <c r="C99" s="1" t="s">
        <v>402</v>
      </c>
      <c r="D99" s="1" t="s">
        <v>403</v>
      </c>
      <c r="E99" s="1" t="s">
        <v>17</v>
      </c>
      <c r="F99" s="1" t="s">
        <v>12</v>
      </c>
      <c r="G99" s="4">
        <v>450</v>
      </c>
      <c r="H99" s="6">
        <v>45593</v>
      </c>
      <c r="I99" s="1">
        <v>1</v>
      </c>
    </row>
    <row r="100" spans="1:9" ht="14.25" customHeight="1">
      <c r="A100" s="1" t="s">
        <v>404</v>
      </c>
      <c r="B100" s="1" t="s">
        <v>405</v>
      </c>
      <c r="C100" s="1" t="s">
        <v>406</v>
      </c>
      <c r="D100" s="1" t="s">
        <v>407</v>
      </c>
      <c r="E100" s="1" t="s">
        <v>11</v>
      </c>
      <c r="F100" s="1" t="s">
        <v>22</v>
      </c>
      <c r="G100" s="4">
        <v>700</v>
      </c>
      <c r="H100" s="6">
        <v>45598</v>
      </c>
      <c r="I100" s="1">
        <v>1</v>
      </c>
    </row>
    <row r="101" spans="1:9" ht="14.25" customHeight="1">
      <c r="A101" s="1" t="s">
        <v>408</v>
      </c>
      <c r="B101" s="1" t="s">
        <v>409</v>
      </c>
      <c r="C101" s="1" t="s">
        <v>410</v>
      </c>
      <c r="D101" s="1" t="s">
        <v>411</v>
      </c>
      <c r="E101" s="1" t="s">
        <v>17</v>
      </c>
      <c r="F101" s="1" t="s">
        <v>27</v>
      </c>
      <c r="G101" s="4">
        <v>300</v>
      </c>
      <c r="H101" s="6">
        <v>45605</v>
      </c>
      <c r="I101" s="1">
        <v>1</v>
      </c>
    </row>
    <row r="102" spans="1:9" ht="14.25" customHeight="1"/>
    <row r="103" spans="1:9" ht="14.25" customHeight="1"/>
    <row r="104" spans="1:9" ht="14.25" customHeight="1"/>
    <row r="105" spans="1:9" ht="14.25" customHeight="1"/>
    <row r="106" spans="1:9" ht="14.25" customHeight="1"/>
    <row r="107" spans="1:9" ht="14.25" customHeight="1"/>
    <row r="108" spans="1:9" ht="14.25" customHeight="1"/>
    <row r="109" spans="1:9" ht="14.25" customHeight="1"/>
    <row r="110" spans="1:9" ht="14.25" customHeight="1"/>
    <row r="111" spans="1:9" ht="14.25" customHeight="1"/>
    <row r="112" spans="1:9"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003"/>
  <sheetViews>
    <sheetView workbookViewId="0">
      <selection activeCell="E5" sqref="E5"/>
    </sheetView>
  </sheetViews>
  <sheetFormatPr defaultColWidth="14.44140625" defaultRowHeight="15" customHeight="1"/>
  <cols>
    <col min="1" max="1" width="8.77734375" customWidth="1"/>
    <col min="2" max="2" width="28.44140625" bestFit="1" customWidth="1"/>
    <col min="3" max="3" width="19.88671875" bestFit="1" customWidth="1"/>
    <col min="4" max="4" width="8.77734375" customWidth="1"/>
    <col min="5" max="5" width="28.44140625" bestFit="1" customWidth="1"/>
    <col min="6" max="6" width="23.44140625" customWidth="1"/>
    <col min="7" max="7" width="8.77734375" customWidth="1"/>
    <col min="8" max="8" width="28.44140625" bestFit="1" customWidth="1"/>
    <col min="9" max="9" width="24.6640625" customWidth="1"/>
    <col min="10" max="26" width="8.77734375" customWidth="1"/>
  </cols>
  <sheetData>
    <row r="1" spans="1:10" ht="21">
      <c r="A1" s="16"/>
      <c r="B1" s="16"/>
      <c r="C1" s="16"/>
      <c r="D1" s="16"/>
      <c r="E1" s="16"/>
      <c r="F1" s="16"/>
      <c r="G1" s="16"/>
      <c r="H1" s="16"/>
      <c r="I1" s="16"/>
      <c r="J1" s="16"/>
    </row>
    <row r="2" spans="1:10" ht="21">
      <c r="A2" s="16"/>
      <c r="B2" s="16"/>
      <c r="C2" s="17"/>
      <c r="D2" s="16"/>
      <c r="E2" s="18"/>
      <c r="F2" s="17"/>
      <c r="G2" s="16"/>
      <c r="H2" s="18"/>
      <c r="I2" s="17"/>
      <c r="J2" s="16"/>
    </row>
    <row r="3" spans="1:10" ht="21">
      <c r="A3" s="16"/>
      <c r="B3" s="18"/>
      <c r="C3" s="16"/>
      <c r="D3" s="16"/>
      <c r="E3" s="18"/>
      <c r="F3" s="16"/>
      <c r="G3" s="16"/>
      <c r="H3" s="18"/>
      <c r="I3" s="16"/>
      <c r="J3" s="16"/>
    </row>
    <row r="4" spans="1:10" ht="21">
      <c r="A4" s="16"/>
      <c r="B4" s="18" t="s">
        <v>413</v>
      </c>
      <c r="C4" s="17">
        <v>9000</v>
      </c>
      <c r="D4" s="16"/>
      <c r="E4" s="18" t="s">
        <v>413</v>
      </c>
      <c r="F4" s="17">
        <v>9000</v>
      </c>
      <c r="G4" s="16"/>
      <c r="H4" s="18" t="s">
        <v>413</v>
      </c>
      <c r="I4" s="17">
        <v>10000</v>
      </c>
      <c r="J4" s="16"/>
    </row>
    <row r="5" spans="1:10" ht="21">
      <c r="A5" s="16"/>
      <c r="B5" s="18"/>
      <c r="C5" s="17"/>
      <c r="D5" s="16"/>
      <c r="E5" s="18"/>
      <c r="F5" s="17"/>
      <c r="G5" s="16"/>
      <c r="H5" s="18"/>
      <c r="I5" s="17"/>
      <c r="J5" s="16"/>
    </row>
    <row r="6" spans="1:10" ht="21">
      <c r="A6" s="16"/>
      <c r="B6" s="18" t="s">
        <v>414</v>
      </c>
      <c r="C6" s="17">
        <v>4300</v>
      </c>
      <c r="D6" s="16"/>
      <c r="E6" s="18" t="s">
        <v>414</v>
      </c>
      <c r="F6" s="17">
        <v>4300</v>
      </c>
      <c r="G6" s="16"/>
      <c r="H6" s="18" t="s">
        <v>414</v>
      </c>
      <c r="I6" s="17">
        <v>25000</v>
      </c>
      <c r="J6" s="16"/>
    </row>
    <row r="7" spans="1:10" ht="21">
      <c r="A7" s="16"/>
      <c r="B7" s="18"/>
      <c r="C7" s="16"/>
      <c r="D7" s="16"/>
      <c r="E7" s="18"/>
      <c r="F7" s="16"/>
      <c r="G7" s="16"/>
      <c r="H7" s="18"/>
      <c r="I7" s="16"/>
      <c r="J7" s="16"/>
    </row>
    <row r="8" spans="1:10" ht="21">
      <c r="A8" s="16"/>
      <c r="B8" s="18" t="s">
        <v>451</v>
      </c>
      <c r="C8" s="24">
        <v>483</v>
      </c>
      <c r="D8" s="16"/>
      <c r="E8" s="18" t="s">
        <v>451</v>
      </c>
      <c r="F8" s="24">
        <v>832.80435983795201</v>
      </c>
      <c r="G8" s="16"/>
      <c r="H8" s="18" t="s">
        <v>451</v>
      </c>
      <c r="I8" s="24">
        <v>1928.4492037413979</v>
      </c>
      <c r="J8" s="16"/>
    </row>
    <row r="9" spans="1:10" ht="21">
      <c r="A9" s="16"/>
      <c r="B9" s="18"/>
      <c r="C9" s="16"/>
      <c r="D9" s="16"/>
      <c r="E9" s="18"/>
      <c r="F9" s="16"/>
      <c r="G9" s="16"/>
      <c r="H9" s="18"/>
      <c r="I9" s="16"/>
      <c r="J9" s="16"/>
    </row>
    <row r="10" spans="1:10" ht="21">
      <c r="A10" s="16"/>
      <c r="B10" s="18" t="s">
        <v>455</v>
      </c>
      <c r="C10" s="20">
        <f>SUM(Projections!C3:C14)</f>
        <v>70.004436589818141</v>
      </c>
      <c r="D10" s="16"/>
      <c r="E10" s="18" t="s">
        <v>455</v>
      </c>
      <c r="F10" s="20">
        <f>SUM(Projections!C3:C14)</f>
        <v>70.004436589818141</v>
      </c>
      <c r="G10" s="16"/>
      <c r="H10" s="18" t="s">
        <v>455</v>
      </c>
      <c r="I10" s="20">
        <f>SUM(Projections!C3:C14)</f>
        <v>70.004436589818141</v>
      </c>
      <c r="J10" s="16"/>
    </row>
    <row r="11" spans="1:10" ht="21">
      <c r="A11" s="16"/>
      <c r="B11" s="18"/>
      <c r="C11" s="16"/>
      <c r="D11" s="16"/>
      <c r="E11" s="18"/>
      <c r="F11" s="16"/>
      <c r="G11" s="16"/>
      <c r="H11" s="18"/>
      <c r="I11" s="16"/>
      <c r="J11" s="16"/>
    </row>
    <row r="12" spans="1:10" ht="21">
      <c r="A12" s="16"/>
      <c r="B12" s="21" t="s">
        <v>456</v>
      </c>
      <c r="C12" s="24">
        <f>C8*C10</f>
        <v>33812.142872882163</v>
      </c>
      <c r="D12" s="16"/>
      <c r="E12" s="21" t="s">
        <v>456</v>
      </c>
      <c r="F12" s="24">
        <f>F8*F10</f>
        <v>58300</v>
      </c>
      <c r="G12" s="16"/>
      <c r="H12" s="21" t="s">
        <v>456</v>
      </c>
      <c r="I12" s="24">
        <f>I8*I10</f>
        <v>134999.99999999997</v>
      </c>
      <c r="J12" s="16"/>
    </row>
    <row r="13" spans="1:10" ht="21">
      <c r="A13" s="16"/>
      <c r="B13" s="21"/>
      <c r="C13" s="19"/>
      <c r="D13" s="16"/>
      <c r="E13" s="21"/>
      <c r="F13" s="19"/>
      <c r="G13" s="16"/>
      <c r="H13" s="21"/>
      <c r="I13" s="19"/>
      <c r="J13" s="16"/>
    </row>
    <row r="14" spans="1:10" ht="21">
      <c r="A14" s="16"/>
      <c r="B14" s="30" t="s">
        <v>412</v>
      </c>
      <c r="C14" s="31">
        <f>C12-C4-C6</f>
        <v>20512.142872882163</v>
      </c>
      <c r="D14" s="16"/>
      <c r="E14" s="30" t="s">
        <v>412</v>
      </c>
      <c r="F14" s="31">
        <f>F12-F4-F6</f>
        <v>45000</v>
      </c>
      <c r="G14" s="16"/>
      <c r="H14" s="30" t="s">
        <v>412</v>
      </c>
      <c r="I14" s="31">
        <f>I12-I4-I6</f>
        <v>99999.999999999971</v>
      </c>
      <c r="J14" s="16"/>
    </row>
    <row r="15" spans="1:10" ht="21">
      <c r="A15" s="16"/>
      <c r="B15" s="16"/>
      <c r="C15" s="16"/>
      <c r="D15" s="16"/>
      <c r="E15" s="16"/>
      <c r="F15" s="16"/>
      <c r="G15" s="16"/>
      <c r="H15" s="16"/>
      <c r="I15" s="16"/>
      <c r="J15" s="16"/>
    </row>
    <row r="16" spans="1:10" ht="21">
      <c r="A16" s="16"/>
      <c r="B16" s="16"/>
      <c r="C16" s="16"/>
      <c r="D16" s="16"/>
      <c r="E16" s="16"/>
      <c r="F16" s="16"/>
      <c r="G16" s="16"/>
      <c r="H16" s="16"/>
      <c r="I16" s="16"/>
      <c r="J16" s="16"/>
    </row>
    <row r="17" spans="1:10" ht="21">
      <c r="A17" s="16"/>
      <c r="B17" s="16"/>
      <c r="C17" s="16"/>
      <c r="D17" s="16"/>
      <c r="E17" s="16"/>
      <c r="F17" s="16"/>
      <c r="G17" s="16"/>
      <c r="H17" s="16"/>
      <c r="I17" s="16"/>
      <c r="J17" s="16"/>
    </row>
    <row r="18" spans="1:10" ht="21">
      <c r="A18" s="16"/>
      <c r="B18" s="16"/>
      <c r="C18" s="16"/>
      <c r="D18" s="16"/>
      <c r="E18" s="16"/>
      <c r="F18" s="16"/>
      <c r="G18" s="16"/>
      <c r="H18" s="16"/>
      <c r="I18" s="16"/>
      <c r="J18" s="16"/>
    </row>
    <row r="19" spans="1:10" ht="14.25" customHeight="1"/>
    <row r="20" spans="1:10" ht="14.25" customHeight="1"/>
    <row r="21" spans="1:10" ht="14.25" customHeight="1"/>
    <row r="22" spans="1:10" ht="14.25" customHeight="1"/>
    <row r="23" spans="1:10" ht="14.25" customHeight="1"/>
    <row r="24" spans="1:10" ht="14.25" customHeight="1"/>
    <row r="25" spans="1:10" ht="14.25" customHeight="1"/>
    <row r="26" spans="1:10" ht="14.25" customHeight="1"/>
    <row r="27" spans="1:10" ht="14.25" customHeight="1"/>
    <row r="28" spans="1:10" ht="14.25" customHeight="1"/>
    <row r="29" spans="1:10" ht="14.25" customHeight="1"/>
    <row r="30" spans="1:10" ht="14.25" customHeight="1"/>
    <row r="31" spans="1:10" ht="14.25" customHeight="1"/>
    <row r="32" spans="1:10"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7"/>
  <sheetViews>
    <sheetView showGridLines="0" workbookViewId="0">
      <selection activeCell="D9" sqref="D9"/>
    </sheetView>
  </sheetViews>
  <sheetFormatPr defaultRowHeight="21"/>
  <cols>
    <col min="1" max="1" width="5.88671875" style="22" bestFit="1" customWidth="1"/>
    <col min="2" max="2" width="8.6640625" style="22" bestFit="1" customWidth="1"/>
    <col min="3" max="3" width="21.5546875" style="22" bestFit="1" customWidth="1"/>
    <col min="4" max="4" width="23.33203125" style="22" bestFit="1" customWidth="1"/>
    <col min="5" max="5" width="16.33203125" style="22" bestFit="1" customWidth="1"/>
    <col min="6" max="6" width="15.6640625" style="22" bestFit="1" customWidth="1"/>
    <col min="7" max="7" width="15.5546875" style="22" bestFit="1" customWidth="1"/>
    <col min="8" max="8" width="25.21875" style="22" bestFit="1" customWidth="1"/>
  </cols>
  <sheetData>
    <row r="1" spans="1:8">
      <c r="A1" s="32" t="s">
        <v>415</v>
      </c>
      <c r="B1" s="32" t="s">
        <v>0</v>
      </c>
      <c r="C1" s="32" t="s">
        <v>1</v>
      </c>
      <c r="D1" s="32" t="s">
        <v>6</v>
      </c>
      <c r="E1" s="32" t="s">
        <v>416</v>
      </c>
      <c r="F1" s="32" t="s">
        <v>417</v>
      </c>
      <c r="G1" s="32" t="s">
        <v>418</v>
      </c>
      <c r="H1" s="32" t="s">
        <v>419</v>
      </c>
    </row>
    <row r="2" spans="1:8">
      <c r="A2" s="22">
        <v>1</v>
      </c>
      <c r="B2" s="22" t="s">
        <v>422</v>
      </c>
      <c r="C2" s="22" t="s">
        <v>423</v>
      </c>
      <c r="D2" s="23">
        <v>32205</v>
      </c>
      <c r="E2" s="22" t="s">
        <v>459</v>
      </c>
      <c r="F2" s="22">
        <v>270</v>
      </c>
      <c r="G2" s="22" t="s">
        <v>17</v>
      </c>
      <c r="H2" s="22" t="s">
        <v>421</v>
      </c>
    </row>
    <row r="3" spans="1:8">
      <c r="A3" s="22">
        <v>123</v>
      </c>
      <c r="B3" s="22" t="s">
        <v>457</v>
      </c>
      <c r="C3" s="22" t="s">
        <v>458</v>
      </c>
      <c r="D3" s="23">
        <v>10564</v>
      </c>
      <c r="E3" s="22" t="s">
        <v>420</v>
      </c>
      <c r="F3" s="22">
        <v>240</v>
      </c>
      <c r="G3" s="22" t="s">
        <v>17</v>
      </c>
      <c r="H3" s="22" t="s">
        <v>421</v>
      </c>
    </row>
    <row r="4" spans="1:8">
      <c r="A4" s="22">
        <v>2</v>
      </c>
      <c r="B4" s="22" t="s">
        <v>460</v>
      </c>
      <c r="C4" s="22" t="s">
        <v>464</v>
      </c>
      <c r="D4" s="23">
        <v>21522</v>
      </c>
      <c r="E4" s="22" t="s">
        <v>466</v>
      </c>
      <c r="F4" s="22">
        <v>300</v>
      </c>
      <c r="G4" s="22" t="s">
        <v>17</v>
      </c>
      <c r="H4" s="22" t="s">
        <v>471</v>
      </c>
    </row>
    <row r="5" spans="1:8">
      <c r="A5" s="22">
        <v>3</v>
      </c>
      <c r="B5" s="22" t="s">
        <v>461</v>
      </c>
      <c r="C5" s="22" t="s">
        <v>465</v>
      </c>
      <c r="D5" s="23">
        <v>32481</v>
      </c>
      <c r="E5" s="22" t="s">
        <v>467</v>
      </c>
      <c r="F5" s="22">
        <v>366</v>
      </c>
      <c r="G5" s="22" t="s">
        <v>17</v>
      </c>
      <c r="H5" s="22" t="s">
        <v>471</v>
      </c>
    </row>
    <row r="6" spans="1:8">
      <c r="A6" s="22">
        <v>4</v>
      </c>
      <c r="B6" s="22" t="s">
        <v>463</v>
      </c>
      <c r="C6" s="22" t="s">
        <v>468</v>
      </c>
      <c r="D6" s="23">
        <v>36134</v>
      </c>
      <c r="E6" s="22" t="s">
        <v>470</v>
      </c>
      <c r="F6" s="22">
        <v>450</v>
      </c>
      <c r="G6" s="22" t="s">
        <v>17</v>
      </c>
      <c r="H6" s="22" t="s">
        <v>471</v>
      </c>
    </row>
    <row r="7" spans="1:8">
      <c r="A7" s="22">
        <v>5</v>
      </c>
      <c r="B7" s="22" t="s">
        <v>462</v>
      </c>
      <c r="C7" s="22" t="s">
        <v>469</v>
      </c>
      <c r="D7" s="23">
        <v>6915</v>
      </c>
      <c r="E7" s="22" t="s">
        <v>466</v>
      </c>
      <c r="F7" s="22">
        <v>800</v>
      </c>
      <c r="G7" s="22" t="s">
        <v>17</v>
      </c>
      <c r="H7" s="22" t="s">
        <v>472</v>
      </c>
    </row>
  </sheetData>
  <hyperlinks>
    <hyperlink ref="C4" r:id="rId1"/>
    <hyperlink ref="C7" r:id="rId2"/>
    <hyperlink ref="C6" r:id="rId3"/>
    <hyperlink ref="C5" r:id="rId4"/>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Pict="0" macro="[0]!ShowUserForm">
                <anchor moveWithCells="1">
                  <from>
                    <xdr:col>8</xdr:col>
                    <xdr:colOff>289560</xdr:colOff>
                    <xdr:row>1</xdr:row>
                    <xdr:rowOff>0</xdr:rowOff>
                  </from>
                  <to>
                    <xdr:col>10</xdr:col>
                    <xdr:colOff>373380</xdr:colOff>
                    <xdr:row>3</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2"/>
  <sheetViews>
    <sheetView workbookViewId="0">
      <selection activeCell="C8" sqref="C8"/>
    </sheetView>
  </sheetViews>
  <sheetFormatPr defaultRowHeight="14.4"/>
  <cols>
    <col min="1" max="1" width="21.109375" bestFit="1" customWidth="1"/>
    <col min="2" max="2" width="16.33203125" style="12" bestFit="1" customWidth="1"/>
    <col min="3" max="3" width="20.77734375" bestFit="1" customWidth="1"/>
    <col min="4" max="4" width="25.88671875" style="12" bestFit="1" customWidth="1"/>
    <col min="6" max="6" width="23" bestFit="1" customWidth="1"/>
    <col min="7" max="7" width="9.6640625" bestFit="1" customWidth="1"/>
  </cols>
  <sheetData>
    <row r="1" spans="1:7" ht="18">
      <c r="A1" s="33" t="s">
        <v>443</v>
      </c>
      <c r="B1" s="34" t="s">
        <v>444</v>
      </c>
      <c r="C1" s="34" t="s">
        <v>453</v>
      </c>
      <c r="D1" s="34" t="s">
        <v>454</v>
      </c>
      <c r="E1" s="14"/>
      <c r="F1" s="14"/>
      <c r="G1" s="14"/>
    </row>
    <row r="2" spans="1:7" ht="18">
      <c r="A2" s="26">
        <v>45627</v>
      </c>
      <c r="B2" s="27">
        <f>_xlfn.FORECAST.ETS(A2,Pivots!$K$3:$K$25,Pivots!$J$3:$J$25,12)</f>
        <v>1140.3850702873208</v>
      </c>
      <c r="C2" s="15">
        <f>_xlfn.FORECAST.ETS(Projections!A2,Pivots!$L$3:$L$25,Pivots!$J$3:$J$25,12,0)</f>
        <v>2.8709818138152192</v>
      </c>
      <c r="D2" s="27">
        <f>$G$2*C2</f>
        <v>1386.6842160727508</v>
      </c>
      <c r="E2" s="14"/>
      <c r="F2" s="34" t="s">
        <v>451</v>
      </c>
      <c r="G2" s="28">
        <f>AVERAGE(Table1[Ticket Price (€)])</f>
        <v>483</v>
      </c>
    </row>
    <row r="3" spans="1:7" ht="18">
      <c r="A3" s="26">
        <v>45658</v>
      </c>
      <c r="B3" s="27">
        <f>_xlfn.FORECAST.ETS(A3,Pivots!$K$3:$K$25,Pivots!$J$3:$J$25,12)</f>
        <v>3995.967155474058</v>
      </c>
      <c r="C3" s="15">
        <f>_xlfn.FORECAST.ETS(Projections!A3,Pivots!$L$3:$L$25,Pivots!$J$3:$J$25,12,0)</f>
        <v>7.8811347559905531</v>
      </c>
      <c r="D3" s="27">
        <f t="shared" ref="D3:D32" si="0">$G$2*C3</f>
        <v>3806.588087143437</v>
      </c>
      <c r="E3" s="14"/>
      <c r="F3" s="29"/>
      <c r="G3" s="14"/>
    </row>
    <row r="4" spans="1:7" ht="18">
      <c r="A4" s="26">
        <v>45689</v>
      </c>
      <c r="B4" s="27">
        <f>_xlfn.FORECAST.ETS(A4,Pivots!$K$3:$K$25,Pivots!$J$3:$J$25,12)</f>
        <v>5070.3428645983968</v>
      </c>
      <c r="C4" s="15">
        <f>_xlfn.FORECAST.ETS(Projections!A4,Pivots!$L$3:$L$25,Pivots!$J$3:$J$25,12,0)</f>
        <v>10.453800623424218</v>
      </c>
      <c r="D4" s="27">
        <f t="shared" si="0"/>
        <v>5049.1857011138973</v>
      </c>
      <c r="E4" s="14"/>
      <c r="F4" s="14"/>
      <c r="G4" s="14"/>
    </row>
    <row r="5" spans="1:7" ht="18">
      <c r="A5" s="26">
        <v>45717</v>
      </c>
      <c r="B5" s="27">
        <f>_xlfn.FORECAST.ETS(A5,Pivots!$K$3:$K$25,Pivots!$J$3:$J$25,12)</f>
        <v>2628.8349971703178</v>
      </c>
      <c r="C5" s="15">
        <f>_xlfn.FORECAST.ETS(Projections!A5,Pivots!$L$3:$L$25,Pivots!$J$3:$J$25,12,0)</f>
        <v>5.8071934791809392</v>
      </c>
      <c r="D5" s="27">
        <f t="shared" si="0"/>
        <v>2804.8744504443935</v>
      </c>
      <c r="E5" s="14"/>
      <c r="F5" s="14"/>
      <c r="G5" s="14"/>
    </row>
    <row r="6" spans="1:7" ht="18">
      <c r="A6" s="26">
        <v>45748</v>
      </c>
      <c r="B6" s="27">
        <f>_xlfn.FORECAST.ETS(A6,Pivots!$K$3:$K$25,Pivots!$J$3:$J$25,12)</f>
        <v>2478.6901302784458</v>
      </c>
      <c r="C6" s="15">
        <f>_xlfn.FORECAST.ETS(Projections!A6,Pivots!$L$3:$L$25,Pivots!$J$3:$J$25,12,0)</f>
        <v>5.1417939845752025</v>
      </c>
      <c r="D6" s="27">
        <f t="shared" si="0"/>
        <v>2483.486494549823</v>
      </c>
      <c r="E6" s="14"/>
      <c r="F6" s="14"/>
      <c r="G6" s="14"/>
    </row>
    <row r="7" spans="1:7" ht="18">
      <c r="A7" s="26">
        <v>45778</v>
      </c>
      <c r="B7" s="27">
        <f>_xlfn.FORECAST.ETS(A7,Pivots!$K$3:$K$25,Pivots!$J$3:$J$25,12)</f>
        <v>2107.5601062903952</v>
      </c>
      <c r="C7" s="15">
        <f>_xlfn.FORECAST.ETS(Projections!A7,Pivots!$L$3:$L$25,Pivots!$J$3:$J$25,12,0)</f>
        <v>4.3811247909536446</v>
      </c>
      <c r="D7" s="27">
        <f t="shared" si="0"/>
        <v>2116.0832740306105</v>
      </c>
      <c r="E7" s="14"/>
      <c r="F7" s="14"/>
      <c r="G7" s="14"/>
    </row>
    <row r="8" spans="1:7" ht="18">
      <c r="A8" s="26">
        <v>45809</v>
      </c>
      <c r="B8" s="27">
        <f>_xlfn.FORECAST.ETS(A8,Pivots!$K$3:$K$25,Pivots!$J$3:$J$25,12)</f>
        <v>2769.8759366284457</v>
      </c>
      <c r="C8" s="15">
        <f>_xlfn.FORECAST.ETS(Projections!A8,Pivots!$L$3:$L$25,Pivots!$J$3:$J$25,12,0)</f>
        <v>5.7334945435190559</v>
      </c>
      <c r="D8" s="27">
        <f t="shared" si="0"/>
        <v>2769.2778645197041</v>
      </c>
      <c r="E8" s="14"/>
      <c r="F8" s="14"/>
      <c r="G8" s="14"/>
    </row>
    <row r="9" spans="1:7" ht="18">
      <c r="A9" s="26">
        <v>45839</v>
      </c>
      <c r="B9" s="27">
        <f>_xlfn.FORECAST.ETS(A9,Pivots!$K$3:$K$25,Pivots!$J$3:$J$25,12)</f>
        <v>2730.6216864041667</v>
      </c>
      <c r="C9" s="15">
        <f>_xlfn.FORECAST.ETS(Projections!A9,Pivots!$L$3:$L$25,Pivots!$J$3:$J$25,12,0)</f>
        <v>5.5056731292317229</v>
      </c>
      <c r="D9" s="27">
        <f t="shared" si="0"/>
        <v>2659.2401214189222</v>
      </c>
      <c r="E9" s="14"/>
      <c r="F9" s="14"/>
      <c r="G9" s="14"/>
    </row>
    <row r="10" spans="1:7" ht="18">
      <c r="A10" s="26">
        <v>45870</v>
      </c>
      <c r="B10" s="27">
        <f>_xlfn.FORECAST.ETS(A10,Pivots!$K$3:$K$25,Pivots!$J$3:$J$25,12)</f>
        <v>3359.159025615877</v>
      </c>
      <c r="C10" s="15">
        <f>_xlfn.FORECAST.ETS(Projections!A10,Pivots!$L$3:$L$25,Pivots!$J$3:$J$25,12,0)</f>
        <v>6.7437737914030187</v>
      </c>
      <c r="D10" s="27">
        <f t="shared" si="0"/>
        <v>3257.2427412476582</v>
      </c>
      <c r="E10" s="14"/>
      <c r="F10" s="14"/>
      <c r="G10" s="14"/>
    </row>
    <row r="11" spans="1:7" ht="18">
      <c r="A11" s="26">
        <v>45901</v>
      </c>
      <c r="B11" s="27">
        <f>_xlfn.FORECAST.ETS(A11,Pivots!$K$3:$K$25,Pivots!$J$3:$J$25,12)</f>
        <v>1824.3154416524596</v>
      </c>
      <c r="C11" s="15">
        <f>_xlfn.FORECAST.ETS(Projections!A11,Pivots!$L$3:$L$25,Pivots!$J$3:$J$25,12,0)</f>
        <v>4.060380681899586</v>
      </c>
      <c r="D11" s="27">
        <f t="shared" si="0"/>
        <v>1961.1638693575001</v>
      </c>
      <c r="E11" s="14"/>
      <c r="F11" s="14"/>
      <c r="G11" s="14"/>
    </row>
    <row r="12" spans="1:7" ht="18">
      <c r="A12" s="26">
        <v>45931</v>
      </c>
      <c r="B12" s="27">
        <f>_xlfn.FORECAST.ETS(A12,Pivots!$K$3:$K$25,Pivots!$J$3:$J$25,12)</f>
        <v>3109.7230691500768</v>
      </c>
      <c r="C12" s="15">
        <f>_xlfn.FORECAST.ETS(Projections!A12,Pivots!$L$3:$L$25,Pivots!$J$3:$J$25,12,0)</f>
        <v>6.6531538297602211</v>
      </c>
      <c r="D12" s="27">
        <f t="shared" si="0"/>
        <v>3213.4732997741867</v>
      </c>
      <c r="E12" s="14"/>
      <c r="F12" s="14"/>
      <c r="G12" s="14"/>
    </row>
    <row r="13" spans="1:7" ht="18">
      <c r="A13" s="26">
        <v>45962</v>
      </c>
      <c r="B13" s="27">
        <f>_xlfn.FORECAST.ETS(A13,Pivots!$K$3:$K$25,Pivots!$J$3:$J$25,12)</f>
        <v>1797.7907473552116</v>
      </c>
      <c r="C13" s="15">
        <f>_xlfn.FORECAST.ETS(Projections!A13,Pivots!$L$3:$L$25,Pivots!$J$3:$J$25,12,0)</f>
        <v>3.5553146617829343</v>
      </c>
      <c r="D13" s="27">
        <f t="shared" si="0"/>
        <v>1717.2169816411572</v>
      </c>
      <c r="E13" s="14"/>
      <c r="F13" s="14"/>
      <c r="G13" s="14"/>
    </row>
    <row r="14" spans="1:7" ht="18">
      <c r="A14" s="26">
        <v>45992</v>
      </c>
      <c r="B14" s="27">
        <f>_xlfn.FORECAST.ETS(A14,Pivots!$K$3:$K$25,Pivots!$J$3:$J$25,12)</f>
        <v>1724.4987097733758</v>
      </c>
      <c r="C14" s="15">
        <f>_xlfn.FORECAST.ETS(Projections!A14,Pivots!$L$3:$L$25,Pivots!$J$3:$J$25,12,0)</f>
        <v>4.0875983180970348</v>
      </c>
      <c r="D14" s="27">
        <f t="shared" si="0"/>
        <v>1974.3099876408678</v>
      </c>
      <c r="E14" s="14"/>
      <c r="F14" s="14"/>
      <c r="G14" s="14"/>
    </row>
    <row r="15" spans="1:7" ht="18">
      <c r="A15" s="26">
        <v>46023</v>
      </c>
      <c r="B15" s="27">
        <f>_xlfn.FORECAST.ETS(A15,Pivots!$K$3:$K$25,Pivots!$J$3:$J$25,12)</f>
        <v>4580.0807949601131</v>
      </c>
      <c r="C15" s="15">
        <f>_xlfn.FORECAST.ETS(Projections!A15,Pivots!$L$3:$L$25,Pivots!$J$3:$J$25,12,0)</f>
        <v>9.0977512602723678</v>
      </c>
      <c r="D15" s="27">
        <f t="shared" si="0"/>
        <v>4394.2138587115533</v>
      </c>
      <c r="E15" s="14"/>
      <c r="F15" s="14"/>
      <c r="G15" s="14"/>
    </row>
    <row r="16" spans="1:7" ht="18">
      <c r="A16" s="26">
        <v>46054</v>
      </c>
      <c r="B16" s="27">
        <f>_xlfn.FORECAST.ETS(A16,Pivots!$K$3:$K$25,Pivots!$J$3:$J$25,12)</f>
        <v>5654.4565040844518</v>
      </c>
      <c r="C16" s="15">
        <f>_xlfn.FORECAST.ETS(Projections!A16,Pivots!$L$3:$L$25,Pivots!$J$3:$J$25,12,0)</f>
        <v>11.670417127706035</v>
      </c>
      <c r="D16" s="27">
        <f t="shared" si="0"/>
        <v>5636.8114726820149</v>
      </c>
      <c r="E16" s="14"/>
      <c r="F16" s="14"/>
      <c r="G16" s="14"/>
    </row>
    <row r="17" spans="1:7" ht="18">
      <c r="A17" s="26">
        <v>46082</v>
      </c>
      <c r="B17" s="27">
        <f>_xlfn.FORECAST.ETS(A17,Pivots!$K$3:$K$25,Pivots!$J$3:$J$25,12)</f>
        <v>3212.9486366563729</v>
      </c>
      <c r="C17" s="15">
        <f>_xlfn.FORECAST.ETS(Projections!A17,Pivots!$L$3:$L$25,Pivots!$J$3:$J$25,12,0)</f>
        <v>7.0238099834627548</v>
      </c>
      <c r="D17" s="27">
        <f t="shared" si="0"/>
        <v>3392.5002220125107</v>
      </c>
      <c r="E17" s="14"/>
      <c r="F17" s="14"/>
      <c r="G17" s="14"/>
    </row>
    <row r="18" spans="1:7" ht="18">
      <c r="A18" s="26">
        <v>46113</v>
      </c>
      <c r="B18" s="27">
        <f>_xlfn.FORECAST.ETS(A18,Pivots!$K$3:$K$25,Pivots!$J$3:$J$25,12)</f>
        <v>3062.8037697645009</v>
      </c>
      <c r="C18" s="15">
        <f>_xlfn.FORECAST.ETS(Projections!A18,Pivots!$L$3:$L$25,Pivots!$J$3:$J$25,12,0)</f>
        <v>6.3584104888570181</v>
      </c>
      <c r="D18" s="27">
        <f t="shared" si="0"/>
        <v>3071.1122661179397</v>
      </c>
      <c r="E18" s="14"/>
      <c r="F18" s="14"/>
      <c r="G18" s="14"/>
    </row>
    <row r="19" spans="1:7" ht="18">
      <c r="A19" s="26">
        <v>46143</v>
      </c>
      <c r="B19" s="27">
        <f>_xlfn.FORECAST.ETS(A19,Pivots!$K$3:$K$25,Pivots!$J$3:$J$25,12)</f>
        <v>2691.6737457764502</v>
      </c>
      <c r="C19" s="15">
        <f>_xlfn.FORECAST.ETS(Projections!A19,Pivots!$L$3:$L$25,Pivots!$J$3:$J$25,12,0)</f>
        <v>5.5977412952354602</v>
      </c>
      <c r="D19" s="27">
        <f t="shared" si="0"/>
        <v>2703.7090455987272</v>
      </c>
      <c r="E19" s="14"/>
      <c r="F19" s="14"/>
      <c r="G19" s="14"/>
    </row>
    <row r="20" spans="1:7" ht="18">
      <c r="A20" s="26">
        <v>46174</v>
      </c>
      <c r="B20" s="27">
        <f>_xlfn.FORECAST.ETS(A20,Pivots!$K$3:$K$25,Pivots!$J$3:$J$25,12)</f>
        <v>3353.9895761145008</v>
      </c>
      <c r="C20" s="15">
        <f>_xlfn.FORECAST.ETS(Projections!A20,Pivots!$L$3:$L$25,Pivots!$J$3:$J$25,12,0)</f>
        <v>6.9501110478008714</v>
      </c>
      <c r="D20" s="27">
        <f t="shared" si="0"/>
        <v>3356.9036360878208</v>
      </c>
      <c r="E20" s="14"/>
      <c r="F20" s="14"/>
      <c r="G20" s="14"/>
    </row>
    <row r="21" spans="1:7" ht="18">
      <c r="A21" s="26">
        <v>46204</v>
      </c>
      <c r="B21" s="27">
        <f>_xlfn.FORECAST.ETS(A21,Pivots!$K$3:$K$25,Pivots!$J$3:$J$25,12)</f>
        <v>3314.7353258902217</v>
      </c>
      <c r="C21" s="15">
        <f>_xlfn.FORECAST.ETS(Projections!A21,Pivots!$L$3:$L$25,Pivots!$J$3:$J$25,12,0)</f>
        <v>6.7222896335135385</v>
      </c>
      <c r="D21" s="27">
        <f t="shared" si="0"/>
        <v>3246.8658929870389</v>
      </c>
      <c r="E21" s="14"/>
      <c r="F21" s="14"/>
      <c r="G21" s="14"/>
    </row>
    <row r="22" spans="1:7" ht="18">
      <c r="A22" s="26">
        <v>46235</v>
      </c>
      <c r="B22" s="27">
        <f>_xlfn.FORECAST.ETS(A22,Pivots!$K$3:$K$25,Pivots!$J$3:$J$25,12)</f>
        <v>3943.2726651019325</v>
      </c>
      <c r="C22" s="15">
        <f>_xlfn.FORECAST.ETS(Projections!A22,Pivots!$L$3:$L$25,Pivots!$J$3:$J$25,12,0)</f>
        <v>7.9603902956848334</v>
      </c>
      <c r="D22" s="27">
        <f t="shared" si="0"/>
        <v>3844.8685128157745</v>
      </c>
      <c r="E22" s="14"/>
      <c r="F22" s="14"/>
      <c r="G22" s="14"/>
    </row>
    <row r="23" spans="1:7" ht="18">
      <c r="A23" s="26">
        <v>46266</v>
      </c>
      <c r="B23" s="27">
        <f>_xlfn.FORECAST.ETS(A23,Pivots!$K$3:$K$25,Pivots!$J$3:$J$25,12)</f>
        <v>2408.4290811385144</v>
      </c>
      <c r="C23" s="15">
        <f>_xlfn.FORECAST.ETS(Projections!A23,Pivots!$L$3:$L$25,Pivots!$J$3:$J$25,12,0)</f>
        <v>5.2769971861814007</v>
      </c>
      <c r="D23" s="27">
        <f t="shared" si="0"/>
        <v>2548.7896409256164</v>
      </c>
      <c r="E23" s="14"/>
      <c r="F23" s="14"/>
      <c r="G23" s="14"/>
    </row>
    <row r="24" spans="1:7" ht="18">
      <c r="A24" s="26">
        <v>46296</v>
      </c>
      <c r="B24" s="27">
        <f>_xlfn.FORECAST.ETS(A24,Pivots!$K$3:$K$25,Pivots!$J$3:$J$25,12)</f>
        <v>3693.8367086361318</v>
      </c>
      <c r="C24" s="15">
        <f>_xlfn.FORECAST.ETS(Projections!A24,Pivots!$L$3:$L$25,Pivots!$J$3:$J$25,12,0)</f>
        <v>7.8697703340420366</v>
      </c>
      <c r="D24" s="27">
        <f t="shared" si="0"/>
        <v>3801.0990713423039</v>
      </c>
      <c r="E24" s="14"/>
      <c r="F24" s="14"/>
      <c r="G24" s="14"/>
    </row>
    <row r="25" spans="1:7" ht="18">
      <c r="A25" s="26">
        <v>46327</v>
      </c>
      <c r="B25" s="27">
        <f>_xlfn.FORECAST.ETS(A25,Pivots!$K$3:$K$25,Pivots!$J$3:$J$25,12)</f>
        <v>2381.9043868412673</v>
      </c>
      <c r="C25" s="15">
        <f>_xlfn.FORECAST.ETS(Projections!A25,Pivots!$L$3:$L$25,Pivots!$J$3:$J$25,12,0)</f>
        <v>4.7719311660647499</v>
      </c>
      <c r="D25" s="27">
        <f t="shared" si="0"/>
        <v>2304.8427532092742</v>
      </c>
      <c r="E25" s="14"/>
      <c r="F25" s="14"/>
      <c r="G25" s="14"/>
    </row>
    <row r="26" spans="1:7" ht="18">
      <c r="A26" s="26">
        <v>46357</v>
      </c>
      <c r="B26" s="27">
        <f>_xlfn.FORECAST.ETS(A26,Pivots!$K$3:$K$25,Pivots!$J$3:$J$25,12)</f>
        <v>2308.6123492594315</v>
      </c>
      <c r="C26" s="15">
        <f>_xlfn.FORECAST.ETS(Projections!A26,Pivots!$L$3:$L$25,Pivots!$J$3:$J$25,12,0)</f>
        <v>5.3042148223788503</v>
      </c>
      <c r="D26" s="27">
        <f t="shared" si="0"/>
        <v>2561.9357592089846</v>
      </c>
      <c r="E26" s="14"/>
      <c r="F26" s="14"/>
      <c r="G26" s="14"/>
    </row>
    <row r="27" spans="1:7" ht="18">
      <c r="A27" s="26">
        <v>46388</v>
      </c>
      <c r="B27" s="27">
        <f>_xlfn.FORECAST.ETS(A27,Pivots!$K$3:$K$25,Pivots!$J$3:$J$25,12)</f>
        <v>5164.1944344461681</v>
      </c>
      <c r="C27" s="15">
        <f>_xlfn.FORECAST.ETS(Projections!A27,Pivots!$L$3:$L$25,Pivots!$J$3:$J$25,12,0)</f>
        <v>10.314367764554184</v>
      </c>
      <c r="D27" s="27">
        <f t="shared" si="0"/>
        <v>4981.8396302796709</v>
      </c>
      <c r="E27" s="14"/>
      <c r="F27" s="14"/>
      <c r="G27" s="14"/>
    </row>
    <row r="28" spans="1:7" ht="18">
      <c r="A28" s="26">
        <v>46419</v>
      </c>
      <c r="B28" s="27">
        <f>_xlfn.FORECAST.ETS(A28,Pivots!$K$3:$K$25,Pivots!$J$3:$J$25,12)</f>
        <v>6238.5701435705068</v>
      </c>
      <c r="C28" s="15">
        <f>_xlfn.FORECAST.ETS(Projections!A28,Pivots!$L$3:$L$25,Pivots!$J$3:$J$25,12,0)</f>
        <v>12.887033631987849</v>
      </c>
      <c r="D28" s="27">
        <f t="shared" si="0"/>
        <v>6224.4372442501308</v>
      </c>
      <c r="E28" s="14"/>
      <c r="F28" s="14"/>
      <c r="G28" s="14"/>
    </row>
    <row r="29" spans="1:7" ht="18">
      <c r="A29" s="26">
        <v>46447</v>
      </c>
      <c r="B29" s="27">
        <f>_xlfn.FORECAST.ETS(A29,Pivots!$K$3:$K$25,Pivots!$J$3:$J$25,12)</f>
        <v>3797.0622761424283</v>
      </c>
      <c r="C29" s="15">
        <f>_xlfn.FORECAST.ETS(Projections!A29,Pivots!$L$3:$L$25,Pivots!$J$3:$J$25,12,0)</f>
        <v>8.2404264877445694</v>
      </c>
      <c r="D29" s="27">
        <f t="shared" si="0"/>
        <v>3980.125993580627</v>
      </c>
      <c r="E29" s="14"/>
      <c r="F29" s="14"/>
      <c r="G29" s="14"/>
    </row>
    <row r="30" spans="1:7" ht="18">
      <c r="A30" s="26">
        <v>46478</v>
      </c>
      <c r="B30" s="27">
        <f>_xlfn.FORECAST.ETS(A30,Pivots!$K$3:$K$25,Pivots!$J$3:$J$25,12)</f>
        <v>3646.9174092505564</v>
      </c>
      <c r="C30" s="15">
        <f>_xlfn.FORECAST.ETS(Projections!A30,Pivots!$L$3:$L$25,Pivots!$J$3:$J$25,12,0)</f>
        <v>7.5750269931388337</v>
      </c>
      <c r="D30" s="27">
        <f t="shared" si="0"/>
        <v>3658.7380376860565</v>
      </c>
      <c r="E30" s="14"/>
      <c r="F30" s="14"/>
      <c r="G30" s="14"/>
    </row>
    <row r="31" spans="1:7" ht="18">
      <c r="A31" s="26">
        <v>46508</v>
      </c>
      <c r="B31" s="27">
        <f>_xlfn.FORECAST.ETS(A31,Pivots!$K$3:$K$25,Pivots!$J$3:$J$25,12)</f>
        <v>3275.7873852625057</v>
      </c>
      <c r="C31" s="15">
        <f>_xlfn.FORECAST.ETS(Projections!A31,Pivots!$L$3:$L$25,Pivots!$J$3:$J$25,12,0)</f>
        <v>6.8143577995172757</v>
      </c>
      <c r="D31" s="27">
        <f t="shared" si="0"/>
        <v>3291.334817166844</v>
      </c>
      <c r="E31" s="14"/>
      <c r="F31" s="14"/>
      <c r="G31" s="14"/>
    </row>
    <row r="32" spans="1:7" ht="18">
      <c r="A32" s="26">
        <v>46539</v>
      </c>
      <c r="B32" s="27">
        <f>_xlfn.FORECAST.ETS(A32,Pivots!$K$3:$K$25,Pivots!$J$3:$J$25,12)</f>
        <v>3938.1032156005563</v>
      </c>
      <c r="C32" s="15">
        <f>_xlfn.FORECAST.ETS(Projections!A32,Pivots!$L$3:$L$25,Pivots!$J$3:$J$25,12,0)</f>
        <v>8.166727552082687</v>
      </c>
      <c r="D32" s="27">
        <f t="shared" si="0"/>
        <v>3944.529407655938</v>
      </c>
      <c r="E32" s="14"/>
      <c r="F32" s="14"/>
      <c r="G32" s="1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3"/>
  <sheetViews>
    <sheetView topLeftCell="C16" workbookViewId="0">
      <selection activeCell="K8" sqref="K8"/>
    </sheetView>
  </sheetViews>
  <sheetFormatPr defaultRowHeight="14.4"/>
  <cols>
    <col min="1" max="1" width="12.5546875" bestFit="1" customWidth="1"/>
    <col min="2" max="2" width="29.44140625" bestFit="1" customWidth="1"/>
    <col min="3" max="3" width="15.33203125" bestFit="1" customWidth="1"/>
    <col min="4" max="4" width="17.5546875" bestFit="1" customWidth="1"/>
    <col min="5" max="5" width="29.44140625" customWidth="1"/>
    <col min="6" max="6" width="18.5546875" bestFit="1" customWidth="1"/>
    <col min="7" max="7" width="17.5546875" customWidth="1"/>
    <col min="8" max="8" width="15.33203125" customWidth="1"/>
    <col min="9" max="9" width="4.77734375" customWidth="1"/>
    <col min="10" max="10" width="14.44140625" bestFit="1" customWidth="1"/>
    <col min="11" max="11" width="29.44140625" bestFit="1" customWidth="1"/>
    <col min="12" max="12" width="15.33203125" bestFit="1" customWidth="1"/>
    <col min="13" max="13" width="17.109375" bestFit="1" customWidth="1"/>
    <col min="14" max="14" width="14.5546875" bestFit="1" customWidth="1"/>
    <col min="15" max="17" width="4.6640625" bestFit="1" customWidth="1"/>
    <col min="18" max="18" width="17.6640625" bestFit="1" customWidth="1"/>
    <col min="19" max="19" width="10.77734375" bestFit="1" customWidth="1"/>
    <col min="20" max="20" width="14.5546875" bestFit="1" customWidth="1"/>
    <col min="21" max="23" width="4.6640625" bestFit="1" customWidth="1"/>
    <col min="24" max="24" width="17.6640625" bestFit="1" customWidth="1"/>
    <col min="25" max="25" width="19.77734375" bestFit="1" customWidth="1"/>
    <col min="26" max="28" width="4.6640625" bestFit="1" customWidth="1"/>
    <col min="29" max="29" width="22.77734375" bestFit="1" customWidth="1"/>
    <col min="30" max="30" width="14" bestFit="1" customWidth="1"/>
    <col min="31" max="33" width="4.6640625" bestFit="1" customWidth="1"/>
    <col min="34" max="34" width="17.109375" bestFit="1" customWidth="1"/>
    <col min="35" max="35" width="14.5546875" bestFit="1" customWidth="1"/>
    <col min="36" max="38" width="4.6640625" bestFit="1" customWidth="1"/>
    <col min="39" max="39" width="17.6640625" bestFit="1" customWidth="1"/>
    <col min="40" max="40" width="10.77734375" bestFit="1" customWidth="1"/>
  </cols>
  <sheetData>
    <row r="1" spans="1:13" ht="21">
      <c r="B1" s="16"/>
      <c r="C1" s="16"/>
      <c r="D1" s="16"/>
      <c r="E1" s="16"/>
      <c r="F1" s="16"/>
      <c r="G1" s="16"/>
      <c r="H1" s="16"/>
      <c r="I1" s="16"/>
      <c r="J1" s="16"/>
      <c r="K1" s="16"/>
      <c r="L1" s="16"/>
      <c r="M1" s="16"/>
    </row>
    <row r="2" spans="1:13" ht="21">
      <c r="B2" s="16"/>
      <c r="C2" s="16"/>
      <c r="D2" s="16"/>
      <c r="E2" s="16"/>
      <c r="F2" s="16"/>
      <c r="G2" s="16"/>
      <c r="H2" s="16"/>
      <c r="I2" s="16"/>
      <c r="J2" s="44" t="s">
        <v>449</v>
      </c>
      <c r="K2" s="44" t="s">
        <v>425</v>
      </c>
      <c r="L2" s="44" t="s">
        <v>450</v>
      </c>
      <c r="M2" s="16"/>
    </row>
    <row r="3" spans="1:13" ht="21">
      <c r="A3" s="2" t="s">
        <v>426</v>
      </c>
      <c r="B3" s="40" t="s">
        <v>425</v>
      </c>
      <c r="C3" s="40" t="s">
        <v>450</v>
      </c>
      <c r="D3" s="40" t="s">
        <v>450</v>
      </c>
      <c r="E3" s="40" t="s">
        <v>442</v>
      </c>
      <c r="F3" s="40"/>
      <c r="G3" s="40"/>
      <c r="H3" s="40"/>
      <c r="I3" s="16"/>
      <c r="J3" s="35">
        <v>44927</v>
      </c>
      <c r="K3" s="36">
        <v>1450</v>
      </c>
      <c r="L3" s="16">
        <v>3</v>
      </c>
      <c r="M3" s="16"/>
    </row>
    <row r="4" spans="1:13" ht="21">
      <c r="A4" s="11" t="s">
        <v>427</v>
      </c>
      <c r="B4" s="25"/>
      <c r="C4" s="39"/>
      <c r="D4" s="40" t="s">
        <v>426</v>
      </c>
      <c r="E4" s="40" t="s">
        <v>22</v>
      </c>
      <c r="F4" s="40" t="s">
        <v>27</v>
      </c>
      <c r="G4" s="40" t="s">
        <v>12</v>
      </c>
      <c r="H4" s="40" t="s">
        <v>424</v>
      </c>
      <c r="I4" s="16"/>
      <c r="J4" s="35">
        <v>44958</v>
      </c>
      <c r="K4" s="36">
        <v>3900</v>
      </c>
      <c r="L4" s="16">
        <v>8</v>
      </c>
      <c r="M4" s="16"/>
    </row>
    <row r="5" spans="1:13" ht="21">
      <c r="A5" s="13" t="s">
        <v>430</v>
      </c>
      <c r="B5" s="25">
        <v>450</v>
      </c>
      <c r="C5" s="39">
        <v>1</v>
      </c>
      <c r="D5" s="37" t="s">
        <v>427</v>
      </c>
      <c r="E5" s="39"/>
      <c r="F5" s="39"/>
      <c r="G5" s="39"/>
      <c r="H5" s="39"/>
      <c r="I5" s="16"/>
      <c r="J5" s="35">
        <v>44986</v>
      </c>
      <c r="K5" s="36">
        <v>450</v>
      </c>
      <c r="L5" s="16">
        <v>1</v>
      </c>
      <c r="M5" s="16"/>
    </row>
    <row r="6" spans="1:13" ht="21">
      <c r="A6" s="13" t="s">
        <v>431</v>
      </c>
      <c r="B6" s="25">
        <v>1900</v>
      </c>
      <c r="C6" s="39">
        <v>4</v>
      </c>
      <c r="D6" s="38" t="s">
        <v>445</v>
      </c>
      <c r="E6" s="39">
        <v>1</v>
      </c>
      <c r="F6" s="39">
        <v>1</v>
      </c>
      <c r="G6" s="39">
        <v>3</v>
      </c>
      <c r="H6" s="39">
        <v>5</v>
      </c>
      <c r="I6" s="16"/>
      <c r="J6" s="35">
        <v>45017</v>
      </c>
      <c r="K6" s="36">
        <v>2900</v>
      </c>
      <c r="L6" s="16">
        <v>6</v>
      </c>
      <c r="M6" s="16"/>
    </row>
    <row r="7" spans="1:13" ht="21">
      <c r="A7" s="11" t="s">
        <v>428</v>
      </c>
      <c r="B7" s="25"/>
      <c r="C7" s="39"/>
      <c r="D7" s="37" t="s">
        <v>428</v>
      </c>
      <c r="E7" s="39"/>
      <c r="F7" s="39"/>
      <c r="G7" s="39"/>
      <c r="H7" s="39"/>
      <c r="I7" s="16"/>
      <c r="J7" s="35">
        <v>45047</v>
      </c>
      <c r="K7" s="36">
        <v>1450</v>
      </c>
      <c r="L7" s="16">
        <v>3</v>
      </c>
      <c r="M7" s="16"/>
    </row>
    <row r="8" spans="1:13" ht="21">
      <c r="A8" s="13" t="s">
        <v>432</v>
      </c>
      <c r="B8" s="25">
        <v>1450</v>
      </c>
      <c r="C8" s="39">
        <v>3</v>
      </c>
      <c r="D8" s="38" t="s">
        <v>446</v>
      </c>
      <c r="E8" s="39">
        <v>4</v>
      </c>
      <c r="F8" s="39">
        <v>4</v>
      </c>
      <c r="G8" s="39">
        <v>4</v>
      </c>
      <c r="H8" s="39">
        <v>12</v>
      </c>
      <c r="I8" s="16"/>
      <c r="J8" s="35">
        <v>45078</v>
      </c>
      <c r="K8" s="36">
        <v>1000</v>
      </c>
      <c r="L8" s="16">
        <v>2</v>
      </c>
      <c r="M8" s="16"/>
    </row>
    <row r="9" spans="1:13" ht="21">
      <c r="A9" s="13" t="s">
        <v>433</v>
      </c>
      <c r="B9" s="25">
        <v>3900</v>
      </c>
      <c r="C9" s="39">
        <v>8</v>
      </c>
      <c r="D9" s="38" t="s">
        <v>447</v>
      </c>
      <c r="E9" s="39">
        <v>4</v>
      </c>
      <c r="F9" s="39">
        <v>4</v>
      </c>
      <c r="G9" s="39">
        <v>3</v>
      </c>
      <c r="H9" s="39">
        <v>11</v>
      </c>
      <c r="I9" s="16"/>
      <c r="J9" s="35">
        <v>45108</v>
      </c>
      <c r="K9" s="36">
        <v>2600</v>
      </c>
      <c r="L9" s="16">
        <v>5</v>
      </c>
      <c r="M9" s="16"/>
    </row>
    <row r="10" spans="1:13" ht="21">
      <c r="A10" s="13" t="s">
        <v>434</v>
      </c>
      <c r="B10" s="25">
        <v>450</v>
      </c>
      <c r="C10" s="39">
        <v>1</v>
      </c>
      <c r="D10" s="38" t="s">
        <v>448</v>
      </c>
      <c r="E10" s="39">
        <v>4</v>
      </c>
      <c r="F10" s="39">
        <v>3</v>
      </c>
      <c r="G10" s="39">
        <v>4</v>
      </c>
      <c r="H10" s="39">
        <v>11</v>
      </c>
      <c r="I10" s="16"/>
      <c r="J10" s="35">
        <v>45139</v>
      </c>
      <c r="K10" s="36">
        <v>1450</v>
      </c>
      <c r="L10" s="16">
        <v>3</v>
      </c>
      <c r="M10" s="16"/>
    </row>
    <row r="11" spans="1:13" ht="21">
      <c r="A11" s="13" t="s">
        <v>435</v>
      </c>
      <c r="B11" s="25">
        <v>2900</v>
      </c>
      <c r="C11" s="39">
        <v>6</v>
      </c>
      <c r="D11" s="38" t="s">
        <v>445</v>
      </c>
      <c r="E11" s="39">
        <v>2</v>
      </c>
      <c r="F11" s="39">
        <v>3</v>
      </c>
      <c r="G11" s="39">
        <v>3</v>
      </c>
      <c r="H11" s="39">
        <v>8</v>
      </c>
      <c r="I11" s="16"/>
      <c r="J11" s="35">
        <v>45170</v>
      </c>
      <c r="K11" s="36">
        <v>1450</v>
      </c>
      <c r="L11" s="16">
        <v>3</v>
      </c>
      <c r="M11" s="16"/>
    </row>
    <row r="12" spans="1:13" ht="21">
      <c r="A12" s="13" t="s">
        <v>436</v>
      </c>
      <c r="B12" s="25">
        <v>1450</v>
      </c>
      <c r="C12" s="39">
        <v>3</v>
      </c>
      <c r="D12" s="37" t="s">
        <v>429</v>
      </c>
      <c r="E12" s="39"/>
      <c r="F12" s="39"/>
      <c r="G12" s="39"/>
      <c r="H12" s="39"/>
      <c r="I12" s="16"/>
      <c r="J12" s="35">
        <v>45200</v>
      </c>
      <c r="K12" s="36">
        <v>1750</v>
      </c>
      <c r="L12" s="16">
        <v>4</v>
      </c>
      <c r="M12" s="16"/>
    </row>
    <row r="13" spans="1:13" ht="21">
      <c r="A13" s="13" t="s">
        <v>437</v>
      </c>
      <c r="B13" s="25">
        <v>1000</v>
      </c>
      <c r="C13" s="39">
        <v>2</v>
      </c>
      <c r="D13" s="38" t="s">
        <v>446</v>
      </c>
      <c r="E13" s="39">
        <v>7</v>
      </c>
      <c r="F13" s="39">
        <v>7</v>
      </c>
      <c r="G13" s="39">
        <v>7</v>
      </c>
      <c r="H13" s="39">
        <v>21</v>
      </c>
      <c r="I13" s="16"/>
      <c r="J13" s="35">
        <v>45231</v>
      </c>
      <c r="K13" s="36">
        <v>1150</v>
      </c>
      <c r="L13" s="16">
        <v>2</v>
      </c>
      <c r="M13" s="16"/>
    </row>
    <row r="14" spans="1:13" ht="21">
      <c r="A14" s="13" t="s">
        <v>438</v>
      </c>
      <c r="B14" s="25">
        <v>2600</v>
      </c>
      <c r="C14" s="39">
        <v>5</v>
      </c>
      <c r="D14" s="38" t="s">
        <v>447</v>
      </c>
      <c r="E14" s="39">
        <v>4</v>
      </c>
      <c r="F14" s="39">
        <v>4</v>
      </c>
      <c r="G14" s="39">
        <v>4</v>
      </c>
      <c r="H14" s="39">
        <v>12</v>
      </c>
      <c r="I14" s="16"/>
      <c r="J14" s="35">
        <v>45261</v>
      </c>
      <c r="K14" s="36">
        <v>750</v>
      </c>
      <c r="L14" s="16">
        <v>2</v>
      </c>
      <c r="M14" s="16"/>
    </row>
    <row r="15" spans="1:13" ht="21">
      <c r="A15" s="13" t="s">
        <v>439</v>
      </c>
      <c r="B15" s="25">
        <v>1450</v>
      </c>
      <c r="C15" s="39">
        <v>3</v>
      </c>
      <c r="D15" s="38" t="s">
        <v>448</v>
      </c>
      <c r="E15" s="39">
        <v>4</v>
      </c>
      <c r="F15" s="39">
        <v>4</v>
      </c>
      <c r="G15" s="39">
        <v>4</v>
      </c>
      <c r="H15" s="39">
        <v>12</v>
      </c>
      <c r="I15" s="16"/>
      <c r="J15" s="35">
        <v>45292</v>
      </c>
      <c r="K15" s="36">
        <v>3600</v>
      </c>
      <c r="L15" s="16">
        <v>7</v>
      </c>
      <c r="M15" s="16"/>
    </row>
    <row r="16" spans="1:13" ht="21">
      <c r="A16" s="13" t="s">
        <v>440</v>
      </c>
      <c r="B16" s="25">
        <v>1450</v>
      </c>
      <c r="C16" s="39">
        <v>3</v>
      </c>
      <c r="D16" s="38" t="s">
        <v>445</v>
      </c>
      <c r="E16" s="39">
        <v>3</v>
      </c>
      <c r="F16" s="39">
        <v>3</v>
      </c>
      <c r="G16" s="39">
        <v>2</v>
      </c>
      <c r="H16" s="39">
        <v>8</v>
      </c>
      <c r="I16" s="16"/>
      <c r="J16" s="35">
        <v>45323</v>
      </c>
      <c r="K16" s="36">
        <v>4350</v>
      </c>
      <c r="L16" s="16">
        <v>9</v>
      </c>
      <c r="M16" s="16"/>
    </row>
    <row r="17" spans="1:13" ht="21">
      <c r="A17" s="13" t="s">
        <v>441</v>
      </c>
      <c r="B17" s="25">
        <v>1750</v>
      </c>
      <c r="C17" s="39">
        <v>4</v>
      </c>
      <c r="D17" s="42" t="s">
        <v>424</v>
      </c>
      <c r="E17" s="43">
        <v>33</v>
      </c>
      <c r="F17" s="43">
        <v>33</v>
      </c>
      <c r="G17" s="43">
        <v>34</v>
      </c>
      <c r="H17" s="43">
        <v>100</v>
      </c>
      <c r="I17" s="16"/>
      <c r="J17" s="35">
        <v>45352</v>
      </c>
      <c r="K17" s="36">
        <v>2200</v>
      </c>
      <c r="L17" s="16">
        <v>5</v>
      </c>
      <c r="M17" s="16"/>
    </row>
    <row r="18" spans="1:13" ht="21">
      <c r="A18" s="13" t="s">
        <v>430</v>
      </c>
      <c r="B18" s="25">
        <v>1150</v>
      </c>
      <c r="C18" s="39">
        <v>2</v>
      </c>
      <c r="D18" s="16"/>
      <c r="E18" s="16"/>
      <c r="F18" s="16"/>
      <c r="G18" s="16"/>
      <c r="H18" s="16"/>
      <c r="I18" s="16"/>
      <c r="J18" s="35">
        <v>45383</v>
      </c>
      <c r="K18" s="36">
        <v>1450</v>
      </c>
      <c r="L18" s="16">
        <v>3</v>
      </c>
      <c r="M18" s="16"/>
    </row>
    <row r="19" spans="1:13" ht="21">
      <c r="A19" s="13" t="s">
        <v>431</v>
      </c>
      <c r="B19" s="25">
        <v>750</v>
      </c>
      <c r="C19" s="39">
        <v>2</v>
      </c>
      <c r="D19" s="16"/>
      <c r="E19" s="16"/>
      <c r="F19" s="16"/>
      <c r="G19" s="40" t="s">
        <v>426</v>
      </c>
      <c r="H19" s="40" t="s">
        <v>450</v>
      </c>
      <c r="I19" s="16"/>
      <c r="J19" s="35">
        <v>45413</v>
      </c>
      <c r="K19" s="36">
        <v>1450</v>
      </c>
      <c r="L19" s="16">
        <v>3</v>
      </c>
      <c r="M19" s="16"/>
    </row>
    <row r="20" spans="1:13" ht="21">
      <c r="A20" s="11" t="s">
        <v>429</v>
      </c>
      <c r="B20" s="25"/>
      <c r="C20" s="39"/>
      <c r="D20" s="40" t="s">
        <v>426</v>
      </c>
      <c r="E20" s="40" t="s">
        <v>425</v>
      </c>
      <c r="F20" s="16"/>
      <c r="G20" s="37" t="s">
        <v>17</v>
      </c>
      <c r="H20" s="39">
        <v>50</v>
      </c>
      <c r="I20" s="16"/>
      <c r="J20" s="35">
        <v>45444</v>
      </c>
      <c r="K20" s="36">
        <v>2900</v>
      </c>
      <c r="L20" s="16">
        <v>6</v>
      </c>
      <c r="M20" s="16"/>
    </row>
    <row r="21" spans="1:13" ht="21">
      <c r="A21" s="13" t="s">
        <v>432</v>
      </c>
      <c r="B21" s="25">
        <v>3600</v>
      </c>
      <c r="C21" s="39">
        <v>7</v>
      </c>
      <c r="D21" s="37" t="s">
        <v>427</v>
      </c>
      <c r="E21" s="25"/>
      <c r="F21" s="16"/>
      <c r="G21" s="37" t="s">
        <v>11</v>
      </c>
      <c r="H21" s="39">
        <v>50</v>
      </c>
      <c r="I21" s="16"/>
      <c r="J21" s="35">
        <v>45474</v>
      </c>
      <c r="K21" s="36">
        <v>1450</v>
      </c>
      <c r="L21" s="16">
        <v>3</v>
      </c>
      <c r="M21" s="16"/>
    </row>
    <row r="22" spans="1:13" ht="21">
      <c r="A22" s="13" t="s">
        <v>433</v>
      </c>
      <c r="B22" s="25">
        <v>4350</v>
      </c>
      <c r="C22" s="39">
        <v>9</v>
      </c>
      <c r="D22" s="38" t="s">
        <v>445</v>
      </c>
      <c r="E22" s="25">
        <v>2350</v>
      </c>
      <c r="F22" s="16"/>
      <c r="G22" s="42" t="s">
        <v>424</v>
      </c>
      <c r="H22" s="43">
        <v>100</v>
      </c>
      <c r="I22" s="16"/>
      <c r="J22" s="35">
        <v>45505</v>
      </c>
      <c r="K22" s="36">
        <v>3600</v>
      </c>
      <c r="L22" s="16">
        <v>7</v>
      </c>
      <c r="M22" s="16"/>
    </row>
    <row r="23" spans="1:13" ht="21">
      <c r="A23" s="13" t="s">
        <v>434</v>
      </c>
      <c r="B23" s="25">
        <v>2200</v>
      </c>
      <c r="C23" s="39">
        <v>5</v>
      </c>
      <c r="D23" s="37" t="s">
        <v>428</v>
      </c>
      <c r="E23" s="25"/>
      <c r="F23" s="16"/>
      <c r="G23" s="16"/>
      <c r="H23" s="16"/>
      <c r="I23" s="16"/>
      <c r="J23" s="35">
        <v>45536</v>
      </c>
      <c r="K23" s="36">
        <v>750</v>
      </c>
      <c r="L23" s="16">
        <v>2</v>
      </c>
      <c r="M23" s="16"/>
    </row>
    <row r="24" spans="1:13" ht="21">
      <c r="A24" s="13" t="s">
        <v>435</v>
      </c>
      <c r="B24" s="25">
        <v>1450</v>
      </c>
      <c r="C24" s="39">
        <v>3</v>
      </c>
      <c r="D24" s="38" t="s">
        <v>446</v>
      </c>
      <c r="E24" s="25">
        <v>5800</v>
      </c>
      <c r="F24" s="16"/>
      <c r="G24" s="16"/>
      <c r="H24" s="16"/>
      <c r="I24" s="16"/>
      <c r="J24" s="35">
        <v>45566</v>
      </c>
      <c r="K24" s="36">
        <v>2900</v>
      </c>
      <c r="L24" s="16">
        <v>6</v>
      </c>
      <c r="M24" s="16"/>
    </row>
    <row r="25" spans="1:13" ht="21">
      <c r="A25" s="13" t="s">
        <v>436</v>
      </c>
      <c r="B25" s="25">
        <v>1450</v>
      </c>
      <c r="C25" s="39">
        <v>3</v>
      </c>
      <c r="D25" s="38" t="s">
        <v>447</v>
      </c>
      <c r="E25" s="25">
        <v>5350</v>
      </c>
      <c r="F25" s="16"/>
      <c r="G25" s="16"/>
      <c r="H25" s="16"/>
      <c r="I25" s="16"/>
      <c r="J25" s="35">
        <v>45597</v>
      </c>
      <c r="K25" s="36">
        <v>1000</v>
      </c>
      <c r="L25" s="16">
        <v>2</v>
      </c>
      <c r="M25" s="16"/>
    </row>
    <row r="26" spans="1:13" ht="21">
      <c r="A26" s="13" t="s">
        <v>437</v>
      </c>
      <c r="B26" s="25">
        <v>2900</v>
      </c>
      <c r="C26" s="39">
        <v>6</v>
      </c>
      <c r="D26" s="38" t="s">
        <v>448</v>
      </c>
      <c r="E26" s="25">
        <v>5500</v>
      </c>
      <c r="F26" s="16"/>
      <c r="G26" s="16"/>
      <c r="H26" s="16"/>
      <c r="I26" s="16"/>
      <c r="J26" s="16"/>
      <c r="K26" s="16"/>
      <c r="L26" s="16"/>
      <c r="M26" s="16"/>
    </row>
    <row r="27" spans="1:13" ht="21">
      <c r="A27" s="13" t="s">
        <v>438</v>
      </c>
      <c r="B27" s="25">
        <v>1450</v>
      </c>
      <c r="C27" s="39">
        <v>3</v>
      </c>
      <c r="D27" s="38" t="s">
        <v>445</v>
      </c>
      <c r="E27" s="25">
        <v>3650</v>
      </c>
      <c r="F27" s="16"/>
      <c r="G27" s="16"/>
      <c r="H27" s="16"/>
      <c r="I27" s="16"/>
      <c r="J27" s="16"/>
      <c r="K27" s="16"/>
      <c r="L27" s="16"/>
      <c r="M27" s="16"/>
    </row>
    <row r="28" spans="1:13" ht="21">
      <c r="A28" s="13" t="s">
        <v>439</v>
      </c>
      <c r="B28" s="25">
        <v>3600</v>
      </c>
      <c r="C28" s="39">
        <v>7</v>
      </c>
      <c r="D28" s="37" t="s">
        <v>429</v>
      </c>
      <c r="E28" s="25"/>
      <c r="F28" s="16"/>
      <c r="G28" s="16"/>
      <c r="H28" s="16"/>
      <c r="I28" s="16"/>
      <c r="J28" s="16"/>
      <c r="K28" s="16"/>
      <c r="L28" s="16"/>
      <c r="M28" s="16"/>
    </row>
    <row r="29" spans="1:13" ht="21">
      <c r="A29" s="13" t="s">
        <v>440</v>
      </c>
      <c r="B29" s="25">
        <v>750</v>
      </c>
      <c r="C29" s="39">
        <v>2</v>
      </c>
      <c r="D29" s="38" t="s">
        <v>446</v>
      </c>
      <c r="E29" s="25">
        <v>10150</v>
      </c>
      <c r="F29" s="16"/>
      <c r="G29" s="16"/>
      <c r="H29" s="16"/>
      <c r="I29" s="16"/>
      <c r="J29" s="16"/>
      <c r="K29" s="16"/>
      <c r="L29" s="16"/>
      <c r="M29" s="16"/>
    </row>
    <row r="30" spans="1:13" ht="21">
      <c r="A30" s="13" t="s">
        <v>441</v>
      </c>
      <c r="B30" s="25">
        <v>2900</v>
      </c>
      <c r="C30" s="39">
        <v>6</v>
      </c>
      <c r="D30" s="38" t="s">
        <v>447</v>
      </c>
      <c r="E30" s="25">
        <v>5800</v>
      </c>
      <c r="F30" s="16"/>
      <c r="G30" s="16"/>
      <c r="H30" s="16"/>
      <c r="I30" s="16"/>
      <c r="J30" s="16"/>
      <c r="K30" s="16"/>
      <c r="L30" s="16"/>
      <c r="M30" s="16"/>
    </row>
    <row r="31" spans="1:13" ht="21">
      <c r="A31" s="13" t="s">
        <v>430</v>
      </c>
      <c r="B31" s="25">
        <v>1000</v>
      </c>
      <c r="C31" s="39">
        <v>2</v>
      </c>
      <c r="D31" s="38" t="s">
        <v>448</v>
      </c>
      <c r="E31" s="25">
        <v>5800</v>
      </c>
      <c r="F31" s="16"/>
      <c r="G31" s="16"/>
      <c r="H31" s="16"/>
      <c r="I31" s="16"/>
      <c r="J31" s="16"/>
      <c r="K31" s="16"/>
      <c r="L31" s="16"/>
      <c r="M31" s="16"/>
    </row>
    <row r="32" spans="1:13" ht="21">
      <c r="A32" s="11" t="s">
        <v>424</v>
      </c>
      <c r="B32" s="41">
        <v>48300</v>
      </c>
      <c r="C32" s="43">
        <v>100</v>
      </c>
      <c r="D32" s="38" t="s">
        <v>445</v>
      </c>
      <c r="E32" s="25">
        <v>3900</v>
      </c>
      <c r="F32" s="16"/>
      <c r="G32" s="16"/>
      <c r="H32" s="16"/>
      <c r="I32" s="16"/>
      <c r="J32" s="16"/>
      <c r="K32" s="16"/>
      <c r="L32" s="16"/>
      <c r="M32" s="16"/>
    </row>
    <row r="33" spans="2:13" ht="21">
      <c r="B33" s="16"/>
      <c r="C33" s="16"/>
      <c r="D33" s="42" t="s">
        <v>424</v>
      </c>
      <c r="E33" s="41">
        <v>48300</v>
      </c>
      <c r="F33" s="16"/>
      <c r="G33" s="16"/>
      <c r="H33" s="16"/>
      <c r="I33" s="16"/>
      <c r="J33" s="16"/>
      <c r="K33" s="16"/>
      <c r="L33" s="16"/>
      <c r="M33"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
  <sheetViews>
    <sheetView showGridLines="0" tabSelected="1" workbookViewId="0">
      <selection activeCell="T24" sqref="T24"/>
    </sheetView>
  </sheetViews>
  <sheetFormatPr defaultRowHeight="14.4"/>
  <sheetData/>
  <pageMargins left="0.7" right="0.7" top="0.75" bottom="0.75" header="0.3" footer="0.3"/>
  <drawing r:id="rId1"/>
  <legacyDrawing r:id="rId2"/>
  <controls>
    <mc:AlternateContent xmlns:mc="http://schemas.openxmlformats.org/markup-compatibility/2006">
      <mc:Choice Requires="x14">
        <control shapeId="4097" r:id="rId3" name="CommandButton1">
          <controlPr defaultSize="0" autoFill="0" autoLine="0" autoPict="0" r:id="rId4">
            <anchor moveWithCells="1">
              <from>
                <xdr:col>7</xdr:col>
                <xdr:colOff>213360</xdr:colOff>
                <xdr:row>32</xdr:row>
                <xdr:rowOff>53340</xdr:rowOff>
              </from>
              <to>
                <xdr:col>10</xdr:col>
                <xdr:colOff>563880</xdr:colOff>
                <xdr:row>34</xdr:row>
                <xdr:rowOff>38100</xdr:rowOff>
              </to>
            </anchor>
          </controlPr>
        </control>
      </mc:Choice>
      <mc:Fallback>
        <control shapeId="4097" r:id="rId3" name="CommandButton1"/>
      </mc:Fallback>
    </mc:AlternateContent>
  </controls>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Database</vt:lpstr>
      <vt:lpstr>Assumptions</vt:lpstr>
      <vt:lpstr>AttendeeData</vt:lpstr>
      <vt:lpstr>Projections</vt:lpstr>
      <vt:lpstr>Pivots</vt:lpstr>
      <vt:lpstr>Event Dashboard</vt:lpstr>
      <vt:lpst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Dennis</cp:lastModifiedBy>
  <dcterms:created xsi:type="dcterms:W3CDTF">2024-11-19T21:28:04Z</dcterms:created>
  <dcterms:modified xsi:type="dcterms:W3CDTF">2025-03-24T12:58:33Z</dcterms:modified>
</cp:coreProperties>
</file>