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2.xml" ContentType="application/vnd.ms-office.activeX+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defaultThemeVersion="202300"/>
  <mc:AlternateContent xmlns:mc="http://schemas.openxmlformats.org/markup-compatibility/2006">
    <mc:Choice Requires="x15">
      <x15ac:absPath xmlns:x15ac="http://schemas.microsoft.com/office/spreadsheetml/2010/11/ac" url="https://d.docs.live.net/32c8e890c27b5fb8/Documents/"/>
    </mc:Choice>
  </mc:AlternateContent>
  <xr:revisionPtr revIDLastSave="0" documentId="8_{A906C0AD-D78F-4565-8BB3-30F486C9C21C}" xr6:coauthVersionLast="47" xr6:coauthVersionMax="47" xr10:uidLastSave="{00000000-0000-0000-0000-000000000000}"/>
  <bookViews>
    <workbookView xWindow="-118" yWindow="-118" windowWidth="33749" windowHeight="18380" activeTab="5" xr2:uid="{4B143CF3-C813-4B9F-B03B-A0195E8C458E}"/>
  </bookViews>
  <sheets>
    <sheet name="Event_Data_Updated" sheetId="4" r:id="rId1"/>
    <sheet name="Event Dashboard" sheetId="2" r:id="rId2"/>
    <sheet name="Sheet1" sheetId="1" r:id="rId3"/>
    <sheet name="Assumptions" sheetId="3" r:id="rId4"/>
    <sheet name="Projection_Registration count" sheetId="5" r:id="rId5"/>
    <sheet name="Summary" sheetId="6" r:id="rId6"/>
  </sheets>
  <externalReferences>
    <externalReference r:id="rId7"/>
  </externalReferences>
  <definedNames>
    <definedName name="_xlnm._FilterDatabase" localSheetId="0" hidden="1">Event_Data_Updated!$A$1:$H$101</definedName>
    <definedName name="NativeTimeline_Registration_Date">#N/A</definedName>
    <definedName name="Slicer_Session_Preference">#N/A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5" i="6" l="1"/>
  <c r="V5" i="6"/>
  <c r="T6" i="6"/>
  <c r="U6" i="6"/>
  <c r="V6" i="6"/>
  <c r="T7" i="6"/>
  <c r="T8" i="6" s="1"/>
  <c r="T9" i="6" s="1"/>
  <c r="T10" i="6" s="1"/>
  <c r="T11" i="6" s="1"/>
  <c r="T12" i="6" s="1"/>
  <c r="T13" i="6" s="1"/>
  <c r="T14" i="6" s="1"/>
  <c r="T15" i="6" s="1"/>
  <c r="T16" i="6" s="1"/>
  <c r="T17" i="6" s="1"/>
  <c r="T18" i="6" s="1"/>
  <c r="T19" i="6" s="1"/>
  <c r="T20" i="6" s="1"/>
  <c r="T21" i="6" s="1"/>
  <c r="T22" i="6" s="1"/>
  <c r="T23" i="6" s="1"/>
  <c r="T24" i="6" s="1"/>
  <c r="T25" i="6" s="1"/>
  <c r="T26" i="6" s="1"/>
  <c r="T27" i="6" s="1"/>
  <c r="T28" i="6" s="1"/>
  <c r="T29" i="6" s="1"/>
  <c r="U7" i="6"/>
  <c r="V7" i="6"/>
  <c r="U8" i="6"/>
  <c r="V8" i="6"/>
  <c r="U9" i="6"/>
  <c r="V9" i="6"/>
  <c r="U10" i="6"/>
  <c r="V10" i="6"/>
  <c r="U11" i="6"/>
  <c r="V11" i="6"/>
  <c r="U12" i="6"/>
  <c r="V12" i="6"/>
  <c r="U13" i="6"/>
  <c r="V13" i="6"/>
  <c r="U14" i="6"/>
  <c r="V14" i="6"/>
  <c r="U15" i="6"/>
  <c r="V15" i="6"/>
  <c r="U16" i="6"/>
  <c r="V16" i="6"/>
  <c r="U17" i="6"/>
  <c r="V17" i="6"/>
  <c r="U18" i="6"/>
  <c r="V18" i="6"/>
  <c r="U19" i="6"/>
  <c r="V19" i="6"/>
  <c r="U20" i="6"/>
  <c r="V20" i="6"/>
  <c r="U21" i="6"/>
  <c r="V21" i="6"/>
  <c r="U22" i="6"/>
  <c r="V22" i="6"/>
  <c r="U23" i="6"/>
  <c r="V23" i="6"/>
  <c r="U24" i="6"/>
  <c r="V24" i="6"/>
  <c r="U25" i="6"/>
  <c r="V25" i="6"/>
  <c r="U26" i="6"/>
  <c r="V26" i="6"/>
  <c r="U27" i="6"/>
  <c r="V27" i="6"/>
  <c r="U28" i="6"/>
  <c r="V28" i="6"/>
  <c r="U29" i="6"/>
  <c r="V29" i="6"/>
  <c r="F2" i="4" a="1"/>
  <c r="F2" i="4" s="1"/>
  <c r="F3" i="4" a="1"/>
  <c r="F3" i="4"/>
  <c r="F4" i="4" a="1"/>
  <c r="F4" i="4" s="1"/>
  <c r="F5" i="4" a="1"/>
  <c r="F5" i="4" s="1"/>
  <c r="F6" i="4" a="1"/>
  <c r="F6" i="4" s="1"/>
  <c r="F7" i="4" a="1"/>
  <c r="F7" i="4" s="1"/>
  <c r="F8" i="4" a="1"/>
  <c r="F8" i="4"/>
  <c r="F9" i="4" a="1"/>
  <c r="F9" i="4"/>
  <c r="F10" i="4" a="1"/>
  <c r="F10" i="4" s="1"/>
  <c r="F11" i="4" a="1"/>
  <c r="F11" i="4" s="1"/>
  <c r="F12" i="4" a="1"/>
  <c r="F12" i="4" s="1"/>
  <c r="F13" i="4" a="1"/>
  <c r="F13" i="4" s="1"/>
  <c r="F14" i="4" a="1"/>
  <c r="F14" i="4" s="1"/>
  <c r="F15" i="4" a="1"/>
  <c r="F15" i="4" s="1"/>
  <c r="F16" i="4" a="1"/>
  <c r="F16" i="4" s="1"/>
  <c r="F17" i="4" a="1"/>
  <c r="F17" i="4"/>
  <c r="F18" i="4" a="1"/>
  <c r="F18" i="4" s="1"/>
  <c r="F19" i="4" a="1"/>
  <c r="F19" i="4"/>
  <c r="F20" i="4" a="1"/>
  <c r="F20" i="4" s="1"/>
  <c r="F21" i="4" a="1"/>
  <c r="F21" i="4" s="1"/>
  <c r="F22" i="4" a="1"/>
  <c r="F22" i="4" s="1"/>
  <c r="F23" i="4" a="1"/>
  <c r="F23" i="4" s="1"/>
  <c r="F24" i="4" a="1"/>
  <c r="F24" i="4" s="1"/>
  <c r="F25" i="4" a="1"/>
  <c r="F25" i="4"/>
  <c r="F26" i="4" a="1"/>
  <c r="F26" i="4" s="1"/>
  <c r="F27" i="4" a="1"/>
  <c r="F27" i="4"/>
  <c r="F28" i="4" a="1"/>
  <c r="F28" i="4" s="1"/>
  <c r="F29" i="4" a="1"/>
  <c r="F29" i="4" s="1"/>
  <c r="F30" i="4" a="1"/>
  <c r="F30" i="4" s="1"/>
  <c r="F31" i="4" a="1"/>
  <c r="F31" i="4" s="1"/>
  <c r="F32" i="4" a="1"/>
  <c r="F32" i="4" s="1"/>
  <c r="F33" i="4" a="1"/>
  <c r="F33" i="4"/>
  <c r="F34" i="4" a="1"/>
  <c r="F34" i="4" s="1"/>
  <c r="F35" i="4" a="1"/>
  <c r="F35" i="4"/>
  <c r="F36" i="4" a="1"/>
  <c r="F36" i="4" s="1"/>
  <c r="F37" i="4" a="1"/>
  <c r="F37" i="4" s="1"/>
  <c r="F38" i="4" a="1"/>
  <c r="F38" i="4" s="1"/>
  <c r="F39" i="4" a="1"/>
  <c r="F39" i="4" s="1"/>
  <c r="F40" i="4" a="1"/>
  <c r="F40" i="4" s="1"/>
  <c r="F41" i="4" a="1"/>
  <c r="F41" i="4"/>
  <c r="F42" i="4" a="1"/>
  <c r="F42" i="4" s="1"/>
  <c r="F43" i="4" a="1"/>
  <c r="F43" i="4"/>
  <c r="F44" i="4" a="1"/>
  <c r="F44" i="4" s="1"/>
  <c r="F45" i="4" a="1"/>
  <c r="F45" i="4" s="1"/>
  <c r="F46" i="4" a="1"/>
  <c r="F46" i="4" s="1"/>
  <c r="F47" i="4" a="1"/>
  <c r="F47" i="4" s="1"/>
  <c r="F48" i="4" a="1"/>
  <c r="F48" i="4" s="1"/>
  <c r="F49" i="4" a="1"/>
  <c r="F49" i="4"/>
  <c r="F50" i="4" a="1"/>
  <c r="F50" i="4" s="1"/>
  <c r="F51" i="4" a="1"/>
  <c r="F51" i="4"/>
  <c r="F52" i="4" a="1"/>
  <c r="F52" i="4" s="1"/>
  <c r="F53" i="4" a="1"/>
  <c r="F53" i="4" s="1"/>
  <c r="F54" i="4" a="1"/>
  <c r="F54" i="4" s="1"/>
  <c r="F55" i="4" a="1"/>
  <c r="F55" i="4" s="1"/>
  <c r="F56" i="4" a="1"/>
  <c r="F56" i="4" s="1"/>
  <c r="F57" i="4" a="1"/>
  <c r="F57" i="4"/>
  <c r="F58" i="4" a="1"/>
  <c r="F58" i="4" s="1"/>
  <c r="F59" i="4" a="1"/>
  <c r="F59" i="4" s="1"/>
  <c r="F60" i="4" a="1"/>
  <c r="F60" i="4" s="1"/>
  <c r="F61" i="4" a="1"/>
  <c r="F61" i="4" s="1"/>
  <c r="F62" i="4" a="1"/>
  <c r="F62" i="4" s="1"/>
  <c r="F63" i="4" a="1"/>
  <c r="F63" i="4" s="1"/>
  <c r="F64" i="4" a="1"/>
  <c r="F64" i="4" s="1"/>
  <c r="F65" i="4" a="1"/>
  <c r="F65" i="4"/>
  <c r="F66" i="4" a="1"/>
  <c r="F66" i="4" s="1"/>
  <c r="F67" i="4" a="1"/>
  <c r="F67" i="4" s="1"/>
  <c r="F68" i="4" a="1"/>
  <c r="F68" i="4" s="1"/>
  <c r="F69" i="4" a="1"/>
  <c r="F69" i="4" s="1"/>
  <c r="F70" i="4" a="1"/>
  <c r="F70" i="4" s="1"/>
  <c r="F71" i="4" a="1"/>
  <c r="F71" i="4" s="1"/>
  <c r="F72" i="4" a="1"/>
  <c r="F72" i="4" s="1"/>
  <c r="F73" i="4" a="1"/>
  <c r="F73" i="4"/>
  <c r="F74" i="4" a="1"/>
  <c r="F74" i="4" s="1"/>
  <c r="F75" i="4" a="1"/>
  <c r="F75" i="4" s="1"/>
  <c r="F76" i="4" a="1"/>
  <c r="F76" i="4" s="1"/>
  <c r="F77" i="4" a="1"/>
  <c r="F77" i="4" s="1"/>
  <c r="F78" i="4" a="1"/>
  <c r="F78" i="4" s="1"/>
  <c r="F79" i="4" a="1"/>
  <c r="F79" i="4" s="1"/>
  <c r="F80" i="4" a="1"/>
  <c r="F80" i="4" s="1"/>
  <c r="F81" i="4" a="1"/>
  <c r="F81" i="4"/>
  <c r="F82" i="4" a="1"/>
  <c r="F82" i="4" s="1"/>
  <c r="F83" i="4" a="1"/>
  <c r="F83" i="4" s="1"/>
  <c r="F84" i="4" a="1"/>
  <c r="F84" i="4" s="1"/>
  <c r="F85" i="4" a="1"/>
  <c r="F85" i="4" s="1"/>
  <c r="F86" i="4" a="1"/>
  <c r="F86" i="4" s="1"/>
  <c r="F87" i="4" a="1"/>
  <c r="F87" i="4" s="1"/>
  <c r="F88" i="4" a="1"/>
  <c r="F88" i="4" s="1"/>
  <c r="F89" i="4" a="1"/>
  <c r="F89" i="4" s="1"/>
  <c r="F90" i="4" a="1"/>
  <c r="F90" i="4" s="1"/>
  <c r="F91" i="4" a="1"/>
  <c r="F91" i="4" s="1"/>
  <c r="F92" i="4" a="1"/>
  <c r="F92" i="4" s="1"/>
  <c r="F93" i="4" a="1"/>
  <c r="F93" i="4" s="1"/>
  <c r="F94" i="4" a="1"/>
  <c r="F94" i="4" s="1"/>
  <c r="F95" i="4" a="1"/>
  <c r="F95" i="4" s="1"/>
  <c r="F96" i="4" a="1"/>
  <c r="F96" i="4" s="1"/>
  <c r="F97" i="4" a="1"/>
  <c r="F97" i="4"/>
  <c r="F98" i="4" a="1"/>
  <c r="F98" i="4" s="1"/>
  <c r="F99" i="4" a="1"/>
  <c r="F99" i="4" s="1"/>
  <c r="F100" i="4" a="1"/>
  <c r="F100" i="4" s="1"/>
  <c r="F101" i="4" a="1"/>
  <c r="F101" i="4" s="1"/>
  <c r="F3" i="3"/>
  <c r="F4" i="3"/>
  <c r="F5" i="3"/>
  <c r="F6" i="3"/>
  <c r="G12" i="3"/>
  <c r="G14" i="3"/>
  <c r="G16" i="3" s="1"/>
  <c r="C27" i="5"/>
  <c r="C31" i="5"/>
  <c r="C35" i="5"/>
  <c r="C29" i="5"/>
  <c r="C30" i="5"/>
  <c r="C37" i="5"/>
  <c r="C38" i="5"/>
  <c r="C28" i="5"/>
  <c r="C32" i="5"/>
  <c r="C36" i="5"/>
  <c r="C33" i="5"/>
  <c r="C34" i="5"/>
  <c r="F34" i="5" l="1"/>
  <c r="F33" i="5"/>
  <c r="F36" i="5"/>
  <c r="F32" i="5"/>
  <c r="F28" i="5"/>
  <c r="F38" i="5"/>
  <c r="F37" i="5"/>
  <c r="F30" i="5"/>
  <c r="F29" i="5"/>
  <c r="F35" i="5"/>
  <c r="F31" i="5"/>
  <c r="C39" i="5"/>
  <c r="F27" i="5"/>
  <c r="E34" i="5"/>
  <c r="E38" i="5"/>
  <c r="D33" i="5"/>
  <c r="D30" i="5"/>
  <c r="E36" i="5"/>
  <c r="D29" i="5"/>
  <c r="E31" i="5"/>
  <c r="D34" i="5"/>
  <c r="D27" i="5"/>
  <c r="E37" i="5"/>
  <c r="D31" i="5"/>
  <c r="D37" i="5"/>
  <c r="D36" i="5"/>
  <c r="E28" i="5"/>
  <c r="E27" i="5"/>
  <c r="E30" i="5"/>
  <c r="E29" i="5"/>
  <c r="D35" i="5"/>
  <c r="D28" i="5"/>
  <c r="D38" i="5"/>
  <c r="E33" i="5"/>
  <c r="E35" i="5"/>
  <c r="D32" i="5"/>
  <c r="E32" i="5"/>
  <c r="F39" i="5" l="1"/>
  <c r="C18" i="3"/>
  <c r="C14" i="3" s="1"/>
  <c r="C16" i="3" s="1"/>
  <c r="E18" i="3"/>
  <c r="E14" i="3" s="1"/>
  <c r="E16" i="3" s="1"/>
  <c r="G15" i="2"/>
  <c r="I15"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<sst xmlns="http://schemas.openxmlformats.org/spreadsheetml/2006/main" count="687" uniqueCount="369">
  <si>
    <t>Event Dashboard</t>
  </si>
  <si>
    <t>Forecasted Profit</t>
  </si>
  <si>
    <t>Forecasted Registration 
for Next 12 mths</t>
  </si>
  <si>
    <t>Total Registration</t>
  </si>
  <si>
    <t>Total Ticket Sales</t>
  </si>
  <si>
    <t>Targert # of Registrations</t>
  </si>
  <si>
    <t>Profit</t>
  </si>
  <si>
    <t>Forecasted Revenue</t>
  </si>
  <si>
    <t>Average Ticket Price</t>
  </si>
  <si>
    <t>Target # of Registrations</t>
  </si>
  <si>
    <t>Target Ticket Price</t>
  </si>
  <si>
    <t>Goal Seek</t>
  </si>
  <si>
    <t>None</t>
  </si>
  <si>
    <t>Operational costs</t>
  </si>
  <si>
    <t>C</t>
  </si>
  <si>
    <t>B</t>
  </si>
  <si>
    <t>Marketing costs</t>
  </si>
  <si>
    <t>A</t>
  </si>
  <si>
    <t>Base Scenario</t>
  </si>
  <si>
    <t>Live Scenario</t>
  </si>
  <si>
    <t>Ticket Prices</t>
  </si>
  <si>
    <t>Target profit</t>
  </si>
  <si>
    <t>Vegetarian</t>
  </si>
  <si>
    <t>In-Person</t>
  </si>
  <si>
    <t>Marketing</t>
  </si>
  <si>
    <t>hpotts@yahoo.com</t>
  </si>
  <si>
    <t>Emily Williams</t>
  </si>
  <si>
    <t>A0100</t>
  </si>
  <si>
    <t>Leadership</t>
  </si>
  <si>
    <t>nicoleflores@davis-hernandez.com</t>
  </si>
  <si>
    <t>Melissa Parker</t>
  </si>
  <si>
    <t>A0099</t>
  </si>
  <si>
    <t>Technology</t>
  </si>
  <si>
    <t>deanmolly@hall.com</t>
  </si>
  <si>
    <t>James Kane</t>
  </si>
  <si>
    <t>A0098</t>
  </si>
  <si>
    <t>Gluten-Free</t>
  </si>
  <si>
    <t>Online</t>
  </si>
  <si>
    <t>gonzalesjames@gmail.com</t>
  </si>
  <si>
    <t>Julia Brown</t>
  </si>
  <si>
    <t>A0097</t>
  </si>
  <si>
    <t>Non-Vegetarian</t>
  </si>
  <si>
    <t>james41@jackson.com</t>
  </si>
  <si>
    <t>Stephanie Davis</t>
  </si>
  <si>
    <t>A0096</t>
  </si>
  <si>
    <t>davenportrobert@johnson.biz</t>
  </si>
  <si>
    <t>Mark Patterson</t>
  </si>
  <si>
    <t>A0095</t>
  </si>
  <si>
    <t>williamramos@wood.com</t>
  </si>
  <si>
    <t>Sarah Lewis</t>
  </si>
  <si>
    <t>A0094</t>
  </si>
  <si>
    <t>Vegan</t>
  </si>
  <si>
    <t>larryewing@hotmail.com</t>
  </si>
  <si>
    <t>Susan Johnson</t>
  </si>
  <si>
    <t>A0093</t>
  </si>
  <si>
    <t>riggsjeffrey@jackson.com</t>
  </si>
  <si>
    <t>Veronica Wall</t>
  </si>
  <si>
    <t>A0092</t>
  </si>
  <si>
    <t>matthewhayes@gibson-tucker.org</t>
  </si>
  <si>
    <t>Carlos Ray</t>
  </si>
  <si>
    <t>A0091</t>
  </si>
  <si>
    <t>vaughncaleb@yahoo.com</t>
  </si>
  <si>
    <t>Rodney Jones</t>
  </si>
  <si>
    <t>A0090</t>
  </si>
  <si>
    <t>cynthia21@foley.com</t>
  </si>
  <si>
    <t>Christopher Potts</t>
  </si>
  <si>
    <t>A0089</t>
  </si>
  <si>
    <t>pamelagonzalez@rodriguez.com</t>
  </si>
  <si>
    <t>Elizabeth Orozco</t>
  </si>
  <si>
    <t>A0088</t>
  </si>
  <si>
    <t>nathan01@costa-thomas.info</t>
  </si>
  <si>
    <t>Jacob Benton</t>
  </si>
  <si>
    <t>A0087</t>
  </si>
  <si>
    <t>shawnoconnor@hotmail.com</t>
  </si>
  <si>
    <t>Colin Kramer</t>
  </si>
  <si>
    <t>A0086</t>
  </si>
  <si>
    <t>michaelunderwood@gmail.com</t>
  </si>
  <si>
    <t>Christopher Boyer</t>
  </si>
  <si>
    <t>A0085</t>
  </si>
  <si>
    <t>henry03@obrien.net</t>
  </si>
  <si>
    <t>James Villarreal</t>
  </si>
  <si>
    <t>A0084</t>
  </si>
  <si>
    <t>wrangel@hotmail.com</t>
  </si>
  <si>
    <t>Alan Liu</t>
  </si>
  <si>
    <t>A0083</t>
  </si>
  <si>
    <t>zacharyroy@gmail.com</t>
  </si>
  <si>
    <t>Judith Miller</t>
  </si>
  <si>
    <t>A0082</t>
  </si>
  <si>
    <t>hoffmancraig@mckenzie.com</t>
  </si>
  <si>
    <t>William Pierce</t>
  </si>
  <si>
    <t>A0081</t>
  </si>
  <si>
    <t>courtney57@gmail.com</t>
  </si>
  <si>
    <t>Edward Barker</t>
  </si>
  <si>
    <t>A0080</t>
  </si>
  <si>
    <t>sreynolds@anderson.com</t>
  </si>
  <si>
    <t>Robert Parks</t>
  </si>
  <si>
    <t>A0079</t>
  </si>
  <si>
    <t>livingstonrichard@yahoo.com</t>
  </si>
  <si>
    <t>Timothy Cook</t>
  </si>
  <si>
    <t>A0078</t>
  </si>
  <si>
    <t>morgan12@yahoo.com</t>
  </si>
  <si>
    <t>Nicholas Moran</t>
  </si>
  <si>
    <t>A0077</t>
  </si>
  <si>
    <t>stacy40@gmail.com</t>
  </si>
  <si>
    <t>Heather Rivera</t>
  </si>
  <si>
    <t>A0076</t>
  </si>
  <si>
    <t>milleralex@johnson.biz</t>
  </si>
  <si>
    <t>Robert Roberts</t>
  </si>
  <si>
    <t>A0075</t>
  </si>
  <si>
    <t>matthewsjessica@stevens-baker.org</t>
  </si>
  <si>
    <t>Courtney Conner</t>
  </si>
  <si>
    <t>A0074</t>
  </si>
  <si>
    <t>grant63@gmail.com</t>
  </si>
  <si>
    <t>Patrick Cox</t>
  </si>
  <si>
    <t>A0073</t>
  </si>
  <si>
    <t>ashley48@roberts-osborne.com</t>
  </si>
  <si>
    <t>Laurie Scott</t>
  </si>
  <si>
    <t>A0072</t>
  </si>
  <si>
    <t>natalieclayton@contreras-reilly.org</t>
  </si>
  <si>
    <t>Michelle Chavez</t>
  </si>
  <si>
    <t>A0071</t>
  </si>
  <si>
    <t>mpetty@wood.org</t>
  </si>
  <si>
    <t>Kimberly Saunders</t>
  </si>
  <si>
    <t>A0070</t>
  </si>
  <si>
    <t>ewhite@gmail.com</t>
  </si>
  <si>
    <t>Shannon Bradford</t>
  </si>
  <si>
    <t>A0069</t>
  </si>
  <si>
    <t>mary24@espinoza.com</t>
  </si>
  <si>
    <t>James Hood</t>
  </si>
  <si>
    <t>A0068</t>
  </si>
  <si>
    <t>john38@evans-johnson.com</t>
  </si>
  <si>
    <t>Bradley Griffin</t>
  </si>
  <si>
    <t>A0067</t>
  </si>
  <si>
    <t>xdeleon@reynolds-smith.com</t>
  </si>
  <si>
    <t>Cody Parker</t>
  </si>
  <si>
    <t>A0066</t>
  </si>
  <si>
    <t>morganstacy@chavez.info</t>
  </si>
  <si>
    <t>James Heath</t>
  </si>
  <si>
    <t>A0065</t>
  </si>
  <si>
    <t>amymalone@mayer-roberson.com</t>
  </si>
  <si>
    <t>Frank Stephens</t>
  </si>
  <si>
    <t>A0064</t>
  </si>
  <si>
    <t>blakeandrews@yahoo.com</t>
  </si>
  <si>
    <t>Kimberly Forbes</t>
  </si>
  <si>
    <t>A0063</t>
  </si>
  <si>
    <t>mariopotts@burke.com</t>
  </si>
  <si>
    <t>Natasha Schmidt</t>
  </si>
  <si>
    <t>A0062</t>
  </si>
  <si>
    <t>anthony24@schmidt.biz</t>
  </si>
  <si>
    <t>Kayla Burns</t>
  </si>
  <si>
    <t>A0061</t>
  </si>
  <si>
    <t>eatonlauren@yahoo.com</t>
  </si>
  <si>
    <t>Jennifer Bell</t>
  </si>
  <si>
    <t>A0060</t>
  </si>
  <si>
    <t>cantuscott@wilson.com</t>
  </si>
  <si>
    <t>Dustin Bird</t>
  </si>
  <si>
    <t>A0059</t>
  </si>
  <si>
    <t>bradleymelissa@hotmail.com</t>
  </si>
  <si>
    <t>Kim Williams</t>
  </si>
  <si>
    <t>A0058</t>
  </si>
  <si>
    <t>klinecarlos@gmail.com</t>
  </si>
  <si>
    <t>Michaela Mendoza</t>
  </si>
  <si>
    <t>A0057</t>
  </si>
  <si>
    <t>michael45@yahoo.com</t>
  </si>
  <si>
    <t>Tracy Frazier</t>
  </si>
  <si>
    <t>A0056</t>
  </si>
  <si>
    <t>jdunlap@gmail.com</t>
  </si>
  <si>
    <t>Bradley Rodgers</t>
  </si>
  <si>
    <t>A0055</t>
  </si>
  <si>
    <t>webbmegan@murray.com</t>
  </si>
  <si>
    <t>Laura Mueller</t>
  </si>
  <si>
    <t>A0054</t>
  </si>
  <si>
    <t>antonio31@suarez.com</t>
  </si>
  <si>
    <t>Sarah Day</t>
  </si>
  <si>
    <t>A0053</t>
  </si>
  <si>
    <t>sydneyhall@yahoo.com</t>
  </si>
  <si>
    <t>Rebecca Chapman</t>
  </si>
  <si>
    <t>A0052</t>
  </si>
  <si>
    <t>jennifer57@wright.info</t>
  </si>
  <si>
    <t>Julie Santiago</t>
  </si>
  <si>
    <t>A0051</t>
  </si>
  <si>
    <t>lindamckenzie@yahoo.com</t>
  </si>
  <si>
    <t>Jacob Martinez</t>
  </si>
  <si>
    <t>A0050</t>
  </si>
  <si>
    <t>moyerduane@page.net</t>
  </si>
  <si>
    <t>Patrick Farley</t>
  </si>
  <si>
    <t>A0049</t>
  </si>
  <si>
    <t>nmorris@yahoo.com</t>
  </si>
  <si>
    <t>Nicole Norris</t>
  </si>
  <si>
    <t>A0048</t>
  </si>
  <si>
    <t>stevenanderson@gmail.com</t>
  </si>
  <si>
    <t>Richard Sawyer</t>
  </si>
  <si>
    <t>A0047</t>
  </si>
  <si>
    <t>paul42@gardner.biz</t>
  </si>
  <si>
    <t>Scott Moore</t>
  </si>
  <si>
    <t>A0046</t>
  </si>
  <si>
    <t>crystal98@smith.net</t>
  </si>
  <si>
    <t>Dylan Bowen</t>
  </si>
  <si>
    <t>A0045</t>
  </si>
  <si>
    <t>carla47@boyer.com</t>
  </si>
  <si>
    <t>Matthew Ayala</t>
  </si>
  <si>
    <t>A0044</t>
  </si>
  <si>
    <t>mkeller@miller-evans.com</t>
  </si>
  <si>
    <t>Amber Vargas</t>
  </si>
  <si>
    <t>A0043</t>
  </si>
  <si>
    <t>daviseric@gmail.com</t>
  </si>
  <si>
    <t>Kevin Morrison</t>
  </si>
  <si>
    <t>A0042</t>
  </si>
  <si>
    <t>devin54@carpenter.net</t>
  </si>
  <si>
    <t>Carlos Patrick</t>
  </si>
  <si>
    <t>A0041</t>
  </si>
  <si>
    <t>srichards@gmail.com</t>
  </si>
  <si>
    <t>Sarah Pratt</t>
  </si>
  <si>
    <t>A0040</t>
  </si>
  <si>
    <t>kristina80@nichols.com</t>
  </si>
  <si>
    <t>Sharon George</t>
  </si>
  <si>
    <t>A0039</t>
  </si>
  <si>
    <t>ballcourtney@yahoo.com</t>
  </si>
  <si>
    <t>Dawn Ruiz</t>
  </si>
  <si>
    <t>A0038</t>
  </si>
  <si>
    <t>isaiahbuckley@yahoo.com</t>
  </si>
  <si>
    <t>Nathan Gonzales</t>
  </si>
  <si>
    <t>A0037</t>
  </si>
  <si>
    <t>michelleperry@day.com</t>
  </si>
  <si>
    <t>Isaac Deleon</t>
  </si>
  <si>
    <t>A0036</t>
  </si>
  <si>
    <t>abrown@gmail.com</t>
  </si>
  <si>
    <t>Joan Foster</t>
  </si>
  <si>
    <t>A0035</t>
  </si>
  <si>
    <t>njohnson@gray.net</t>
  </si>
  <si>
    <t>Jeremy Hogan</t>
  </si>
  <si>
    <t>A0034</t>
  </si>
  <si>
    <t>simsjoseph@yahoo.com</t>
  </si>
  <si>
    <t>Bethany Evans</t>
  </si>
  <si>
    <t>A0033</t>
  </si>
  <si>
    <t>trevor71@gmail.com</t>
  </si>
  <si>
    <t>Raven Cruz</t>
  </si>
  <si>
    <t>A0032</t>
  </si>
  <si>
    <t>jeffreyrivera@watkins.com</t>
  </si>
  <si>
    <t>Felicia Parker</t>
  </si>
  <si>
    <t>A0031</t>
  </si>
  <si>
    <t>kjohnson@yahoo.com</t>
  </si>
  <si>
    <t>Debbie Bryant MD</t>
  </si>
  <si>
    <t>A0030</t>
  </si>
  <si>
    <t>brittany10@williams-smith.com</t>
  </si>
  <si>
    <t>Tammy Brown</t>
  </si>
  <si>
    <t>A0029</t>
  </si>
  <si>
    <t>anthony55@gmail.com</t>
  </si>
  <si>
    <t>Lisa Green</t>
  </si>
  <si>
    <t>A0028</t>
  </si>
  <si>
    <t>rsmith@schmidt.com</t>
  </si>
  <si>
    <t>Meagan Wheeler</t>
  </si>
  <si>
    <t>A0027</t>
  </si>
  <si>
    <t>martindarrell@todd.com</t>
  </si>
  <si>
    <t>Regina Zimmerman</t>
  </si>
  <si>
    <t>A0026</t>
  </si>
  <si>
    <t>jeffreyshepherd@yahoo.com</t>
  </si>
  <si>
    <t>Andrew Becker</t>
  </si>
  <si>
    <t>A0025</t>
  </si>
  <si>
    <t>nancy35@yahoo.com</t>
  </si>
  <si>
    <t>Linda White</t>
  </si>
  <si>
    <t>A0024</t>
  </si>
  <si>
    <t>brookenavarro@hotmail.com</t>
  </si>
  <si>
    <t>Carolyn Graves</t>
  </si>
  <si>
    <t>A0023</t>
  </si>
  <si>
    <t>iwebb@mullins.com</t>
  </si>
  <si>
    <t>Emily Mcdonald</t>
  </si>
  <si>
    <t>A0022</t>
  </si>
  <si>
    <t>peggyfriedman@yahoo.com</t>
  </si>
  <si>
    <t>Lydia Mcdonald</t>
  </si>
  <si>
    <t>A0021</t>
  </si>
  <si>
    <t>susan21@yahoo.com</t>
  </si>
  <si>
    <t>Amy Miller</t>
  </si>
  <si>
    <t>A0020</t>
  </si>
  <si>
    <t>uhayden@yahoo.com</t>
  </si>
  <si>
    <t>Oscar Fowler</t>
  </si>
  <si>
    <t>A0019</t>
  </si>
  <si>
    <t>stephen94@hotmail.com</t>
  </si>
  <si>
    <t>Nancy Lee</t>
  </si>
  <si>
    <t>A0018</t>
  </si>
  <si>
    <t>hollymeadows@davis-allison.net</t>
  </si>
  <si>
    <t>David Williams</t>
  </si>
  <si>
    <t>A0017</t>
  </si>
  <si>
    <t>volson@jones-watts.com</t>
  </si>
  <si>
    <t>Barbara Dominguez</t>
  </si>
  <si>
    <t>A0016</t>
  </si>
  <si>
    <t>miguelkim@harrington.com</t>
  </si>
  <si>
    <t>Neil Lester</t>
  </si>
  <si>
    <t>A0015</t>
  </si>
  <si>
    <t>bthornton@tran.com</t>
  </si>
  <si>
    <t>Darin Hampton</t>
  </si>
  <si>
    <t>A0014</t>
  </si>
  <si>
    <t>michelemyers@hall-coleman.com</t>
  </si>
  <si>
    <t>Gloria Ryan</t>
  </si>
  <si>
    <t>A0013</t>
  </si>
  <si>
    <t>ujennings@day.biz</t>
  </si>
  <si>
    <t>Timothy Butler</t>
  </si>
  <si>
    <t>A0012</t>
  </si>
  <si>
    <t>jenniferclark@yahoo.com</t>
  </si>
  <si>
    <t>Kimberly Anderson</t>
  </si>
  <si>
    <t>A0011</t>
  </si>
  <si>
    <t>johnbullock@hotmail.com</t>
  </si>
  <si>
    <t>Bethany Turner</t>
  </si>
  <si>
    <t>A0010</t>
  </si>
  <si>
    <t>brianna75@hotmail.com</t>
  </si>
  <si>
    <t>Christopher Burns</t>
  </si>
  <si>
    <t>A0009</t>
  </si>
  <si>
    <t>justinlopez@yahoo.com</t>
  </si>
  <si>
    <t>Curtis Ortiz</t>
  </si>
  <si>
    <t>A0008</t>
  </si>
  <si>
    <t>millerfrank@gmail.com</t>
  </si>
  <si>
    <t>Rebecca Tate</t>
  </si>
  <si>
    <t>A0007</t>
  </si>
  <si>
    <t>bmoore@gmail.com</t>
  </si>
  <si>
    <t>Tina Williams</t>
  </si>
  <si>
    <t>A0006</t>
  </si>
  <si>
    <t>antonio90@yahoo.com</t>
  </si>
  <si>
    <t>Bryan Hamilton</t>
  </si>
  <si>
    <t>A0005</t>
  </si>
  <si>
    <t>marygarcia@gutierrez-tyler.com</t>
  </si>
  <si>
    <t>Tina Carrillo</t>
  </si>
  <si>
    <t>A0004</t>
  </si>
  <si>
    <t>william93@yahoo.com</t>
  </si>
  <si>
    <t>Gabrielle Jennings</t>
  </si>
  <si>
    <t>A0003</t>
  </si>
  <si>
    <t>erin02@robinson-moody.biz</t>
  </si>
  <si>
    <t>Joshua Stephens</t>
  </si>
  <si>
    <t>A0002</t>
  </si>
  <si>
    <t>michaelcole@gmail.com</t>
  </si>
  <si>
    <t>Katherine Lewis</t>
  </si>
  <si>
    <t>A0001</t>
  </si>
  <si>
    <t>Registration Date</t>
  </si>
  <si>
    <t>Dietary Preference</t>
  </si>
  <si>
    <t>Ticket Price</t>
  </si>
  <si>
    <t>Attendance Type</t>
  </si>
  <si>
    <t>Session Preference</t>
  </si>
  <si>
    <t>Email</t>
  </si>
  <si>
    <t>Name</t>
  </si>
  <si>
    <t>ID</t>
  </si>
  <si>
    <t>Upper Confidence Bound(# of Registrations)</t>
  </si>
  <si>
    <t>Lower Confidence Bound(# of Registrations)</t>
  </si>
  <si>
    <t>Forecast(# of Registrations)</t>
  </si>
  <si>
    <t># of Registrations</t>
  </si>
  <si>
    <t>Source Data for Projections</t>
  </si>
  <si>
    <t>Grand Total</t>
  </si>
  <si>
    <t>Count of ID</t>
  </si>
  <si>
    <t>Row Labels</t>
  </si>
  <si>
    <t>Sum of Ticket Price</t>
  </si>
  <si>
    <t>2024 Total</t>
  </si>
  <si>
    <t>Nov</t>
  </si>
  <si>
    <t>Oct</t>
  </si>
  <si>
    <t>Sep</t>
  </si>
  <si>
    <t>Aug</t>
  </si>
  <si>
    <t>Jul</t>
  </si>
  <si>
    <t>Jun</t>
  </si>
  <si>
    <t>May</t>
  </si>
  <si>
    <t>Apr</t>
  </si>
  <si>
    <t>Mar</t>
  </si>
  <si>
    <t>Feb</t>
  </si>
  <si>
    <t>Jan</t>
  </si>
  <si>
    <t>2024</t>
  </si>
  <si>
    <t>2023 Total</t>
  </si>
  <si>
    <t>Dec</t>
  </si>
  <si>
    <t>2023</t>
  </si>
  <si>
    <t>2022 Total</t>
  </si>
  <si>
    <t>2022</t>
  </si>
  <si>
    <t>Ticket Sales</t>
  </si>
  <si>
    <t>Months</t>
  </si>
  <si>
    <t>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</si>
</sst>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_-&quot;$&quot;* #,##0_-;\-&quot;$&quot;* #,##0_-;_-&quot;$&quot;* &quot;-&quot;??_-;_-@_-"/>
    <numFmt numFmtId="165" formatCode="yyyy\-mm\-dd"/>
    <numFmt numFmtId="166" formatCode="&quot;$&quot;#,##0"/>
    <numFmt numFmtId="167" formatCode="_-* #,##0_-;\-* #,##0_-;_-* &quot;-&quot;??_-;_-@_-"/>
    <numFmt numFmtId="168" formatCode="_-&quot;$&quot;* #,##0.00_-;\-&quot;$&quot;* #,##0.00_-;_-&quot;$&quot;* &quot;-&quot;??_-;_-@_-"/>
    <numFmt numFmtId="169" formatCode="_-* #,##0_-;\-* #,##0_-;_-* &quot;-&quot;??_-;_-@"/>
    <numFmt numFmtId="170" formatCode="&quot;€&quot;#,##0.00"/>
  </numFmts>
  <fonts count="9" x14ac:knownFonts="1">
    <font>
      <sz val="11"/>
      <color theme="1"/>
      <name val="Aptos Narrow"/>
      <family val="2"/>
      <scheme val="minor"/>
    </font>
    <font>
      <sz val="11"/>
      <color theme="1"/>
      <name val="Aptos Narrow"/>
      <family val="2"/>
      <scheme val="minor"/>
    </font>
    <font>
      <b/>
      <sz val="11"/>
      <color theme="1"/>
      <name val="Aptos Narrow"/>
      <family val="2"/>
      <scheme val="minor"/>
    </font>
    <font>
      <b/>
      <sz val="18"/>
      <color theme="0"/>
      <name val="Aptos Narrow"/>
      <family val="2"/>
      <scheme val="minor"/>
    </font>
    <font>
      <sz val="11"/>
      <color theme="1"/>
      <name val="Aptos Narrow"/>
      <scheme val="minor"/>
    </font>
    <font>
      <b/>
      <sz val="16"/>
      <color theme="1"/>
      <name val="Aptos Narrow"/>
      <family val="2"/>
      <scheme val="minor"/>
    </font>
    <font>
      <sz val="11"/>
      <color theme="1"/>
      <name val="Calibri"/>
      <family val="2"/>
    </font>
    <font>
      <b/>
      <sz val="11"/>
      <color theme="1"/>
      <name val="Calibri"/>
      <family val="2"/>
    </font>
    <font>
      <b/>
      <i/>
      <sz val="11"/>
      <color rgb="FF000000"/>
      <name val="Aptos Narrow"/>
      <family val="2"/>
      <scheme val="minor"/>
    </font>
  </fonts>
  <fills count="5">
    <fill>
      <patternFill patternType="none"/>
    </fill>
    <fill>
      <patternFill patternType="gray125"/>
    </fill>
    <fill>
      <patternFill patternType="solid">
        <fgColor theme="4"/>
        <bgColor indexed="64"/>
      </patternFill>
    </fill>
    <fill>
      <patternFill patternType="solid">
        <fgColor theme="8" tint="0.79998168889431442"/>
        <bgColor indexed="64"/>
      </patternFill>
    </fill>
    <fill>
      <patternFill patternType="solid">
        <fgColor rgb="FFFFFF00"/>
        <bgColor indexed="64"/>
      </patternFill>
    </fill>
  </fills>
  <borders count="3">
    <border>
      <left/>
      <right/>
      <top/>
      <bottom/>
      <diagonal/>
    </border>
    <border>
      <left/>
      <right/>
      <top/>
      <bottom style="thin">
        <color indexed="64"/>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43" fontId="1" fillId="0" borderId="0" applyFont="0" applyFill="0" applyBorder="0" applyAlignment="0" applyProtection="0"/>
    <xf numFmtId="0" fontId="4" fillId="0" borderId="0"/>
    <xf numFmtId="168" fontId="1" fillId="0" borderId="0" applyFont="0" applyFill="0" applyBorder="0" applyAlignment="0" applyProtection="0"/>
  </cellStyleXfs>
  <cellXfs count="36">
    <xf numFmtId="0" fontId="0" fillId="0" borderId="0" xfId="0"/>
    <xf numFmtId="0" fontId="4" fillId="0" borderId="0" xfId="2"/>
    <xf numFmtId="166" fontId="0" fillId="0" borderId="0" xfId="1" applyNumberFormat="1" applyFont="1" applyAlignment="1">
      <alignment horizontal="center"/>
    </xf>
    <xf numFmtId="1" fontId="4" fillId="0" borderId="0" xfId="2" applyNumberFormat="1" applyAlignment="1">
      <alignment horizontal="center"/>
    </xf>
    <xf numFmtId="1" fontId="0" fillId="0" borderId="0" xfId="1" applyNumberFormat="1" applyFont="1" applyAlignment="1">
      <alignment horizontal="center"/>
    </xf>
    <xf numFmtId="0" fontId="4" fillId="0" borderId="0" xfId="2" applyAlignment="1">
      <alignment horizontal="center"/>
    </xf>
    <xf numFmtId="166" fontId="4" fillId="0" borderId="0" xfId="2" applyNumberFormat="1" applyAlignment="1">
      <alignment horizontal="center"/>
    </xf>
    <xf numFmtId="0" fontId="4" fillId="0" borderId="0" xfId="2" applyAlignment="1">
      <alignment horizontal="center" vertical="center"/>
    </xf>
    <xf numFmtId="0" fontId="2" fillId="3" borderId="0" xfId="2" applyFont="1" applyFill="1" applyAlignment="1">
      <alignment horizontal="center" vertical="center"/>
    </xf>
    <xf numFmtId="0" fontId="2" fillId="3" borderId="0" xfId="2" applyFont="1" applyFill="1" applyAlignment="1">
      <alignment horizontal="center" vertical="center" wrapText="1"/>
    </xf>
    <xf numFmtId="0" fontId="5" fillId="0" borderId="0" xfId="2" applyFont="1"/>
    <xf numFmtId="0" fontId="3" fillId="2" borderId="0" xfId="2" applyFont="1" applyFill="1" applyAlignment="1">
      <alignment horizontal="center" vertical="center"/>
    </xf>
    <xf numFmtId="167" fontId="0" fillId="3" borderId="0" xfId="1" applyNumberFormat="1" applyFont="1" applyFill="1"/>
    <xf numFmtId="167" fontId="0" fillId="0" borderId="0" xfId="1" applyNumberFormat="1" applyFont="1"/>
    <xf numFmtId="164" fontId="4" fillId="0" borderId="0" xfId="2" applyNumberFormat="1"/>
    <xf numFmtId="164" fontId="0" fillId="0" borderId="0" xfId="3" applyNumberFormat="1" applyFont="1"/>
    <xf numFmtId="168" fontId="4" fillId="0" borderId="0" xfId="2" applyNumberFormat="1"/>
    <xf numFmtId="168" fontId="4" fillId="3" borderId="0" xfId="2" applyNumberFormat="1" applyFill="1"/>
    <xf numFmtId="0" fontId="2" fillId="0" borderId="1" xfId="2" applyFont="1" applyBorder="1" applyAlignment="1">
      <alignment horizontal="center"/>
    </xf>
    <xf numFmtId="0" fontId="4" fillId="3" borderId="0" xfId="2" applyFill="1"/>
    <xf numFmtId="169" fontId="6" fillId="0" borderId="0" xfId="2" applyNumberFormat="1" applyFont="1" applyAlignment="1">
      <alignment horizontal="right"/>
    </xf>
    <xf numFmtId="0" fontId="6" fillId="0" borderId="0" xfId="2" applyFont="1"/>
    <xf numFmtId="169" fontId="6" fillId="0" borderId="0" xfId="2" applyNumberFormat="1" applyFont="1"/>
    <xf numFmtId="170" fontId="1" fillId="0" borderId="0" xfId="2" applyNumberFormat="1" applyFont="1"/>
    <xf numFmtId="0" fontId="1" fillId="0" borderId="0" xfId="2" applyFont="1"/>
    <xf numFmtId="14" fontId="4" fillId="0" borderId="0" xfId="2" applyNumberFormat="1"/>
    <xf numFmtId="165" fontId="6" fillId="0" borderId="0" xfId="2" applyNumberFormat="1" applyFont="1"/>
    <xf numFmtId="164" fontId="1" fillId="0" borderId="0" xfId="3" applyNumberFormat="1" applyFont="1"/>
    <xf numFmtId="0" fontId="7" fillId="0" borderId="2" xfId="2" applyFont="1" applyBorder="1" applyAlignment="1">
      <alignment horizontal="center" vertical="top"/>
    </xf>
    <xf numFmtId="0" fontId="7" fillId="4" borderId="2" xfId="2" applyFont="1" applyFill="1" applyBorder="1" applyAlignment="1">
      <alignment horizontal="center" vertical="top"/>
    </xf>
    <xf numFmtId="2" fontId="4" fillId="0" borderId="0" xfId="2" applyNumberFormat="1"/>
    <xf numFmtId="0" fontId="2" fillId="0" borderId="0" xfId="2" applyFont="1"/>
    <xf numFmtId="10" fontId="4" fillId="0" borderId="0" xfId="2" applyNumberFormat="1"/>
    <xf numFmtId="0" fontId="4" fillId="0" borderId="0" xfId="2" applyAlignment="1">
      <alignment horizontal="left"/>
    </xf>
    <xf numFmtId="0" fontId="4" fillId="0" borderId="0" xfId="2" pivotButton="1"/>
    <xf numFmtId="0" fontId="8" fillId="0" borderId="0" xfId="2" applyFont="1" applyAlignment="1">
      <alignment horizontal="left" vertical="center"/>
    </xf>
  </cellXfs>
  <cellStyles count="4">
    <cellStyle name="Comma" xfId="1" builtinId="3"/>
    <cellStyle name="Currency 2" xfId="3" xr:uid="{457CE4CA-DA9A-404E-9BD0-1499FEC64D55}"/>
    <cellStyle name="Normal" xfId="0" builtinId="0"/>
    <cellStyle name="Normal 2" xfId="2" xr:uid="{BBC154FE-1297-4108-BC1A-398AC0216CE4}"/>
  </cellStyles>
  <dxfs count="12">
    <dxf>
      <numFmt numFmtId="2" formatCode="0.00"/>
    </dxf>
    <dxf>
      <numFmt numFmtId="2" formatCode="0.00"/>
    </dxf>
    <dxf>
      <numFmt numFmtId="171" formatCode="d/m/yyyy"/>
    </dxf>
    <dxf>
      <alignment vertical="center"/>
    </dxf>
    <dxf>
      <alignment horizontal="center"/>
    </dxf>
    <dxf>
      <alignment horizontal="center"/>
    </dxf>
    <dxf>
      <alignment vertical="bottom"/>
    </dxf>
    <dxf>
      <numFmt numFmtId="166" formatCode="&quot;$&quot;#,##0"/>
    </dxf>
    <dxf>
      <alignment vertical="center"/>
    </dxf>
    <dxf>
      <alignment horizontal="center"/>
    </dxf>
    <dxf>
      <alignment horizontal="center"/>
    </dxf>
    <dxf>
      <alignment vertical="botto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11/relationships/timelineCache" Target="timelineCaches/timelineCach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Registration and Ticket Sales $ by Month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T"/>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T"/>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v>Sum of Ticket Price</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25"/>
              <c:pt idx="0">
                <c:v>2022 Nov</c:v>
              </c:pt>
              <c:pt idx="1">
                <c:v>2022 Dec</c:v>
              </c:pt>
              <c:pt idx="2">
                <c:v>2023 Jan</c:v>
              </c:pt>
              <c:pt idx="3">
                <c:v>2023 Feb</c:v>
              </c:pt>
              <c:pt idx="4">
                <c:v>2023 Mar</c:v>
              </c:pt>
              <c:pt idx="5">
                <c:v>2023 Apr</c:v>
              </c:pt>
              <c:pt idx="6">
                <c:v>2023 May</c:v>
              </c:pt>
              <c:pt idx="7">
                <c:v>2023 Jun</c:v>
              </c:pt>
              <c:pt idx="8">
                <c:v>2023 Jul</c:v>
              </c:pt>
              <c:pt idx="9">
                <c:v>2023 Aug</c:v>
              </c:pt>
              <c:pt idx="10">
                <c:v>2023 Sep</c:v>
              </c:pt>
              <c:pt idx="11">
                <c:v>2023 Oct</c:v>
              </c:pt>
              <c:pt idx="12">
                <c:v>2023 Nov</c:v>
              </c:pt>
              <c:pt idx="13">
                <c:v>2023 Dec</c:v>
              </c:pt>
              <c:pt idx="14">
                <c:v>2024 Jan</c:v>
              </c:pt>
              <c:pt idx="15">
                <c:v>2024 Feb</c:v>
              </c:pt>
              <c:pt idx="16">
                <c:v>2024 Mar</c:v>
              </c:pt>
              <c:pt idx="17">
                <c:v>2024 Apr</c:v>
              </c:pt>
              <c:pt idx="18">
                <c:v>2024 May</c:v>
              </c:pt>
              <c:pt idx="19">
                <c:v>2024 Jun</c:v>
              </c:pt>
              <c:pt idx="20">
                <c:v>2024 Jul</c:v>
              </c:pt>
              <c:pt idx="21">
                <c:v>2024 Aug</c:v>
              </c:pt>
              <c:pt idx="22">
                <c:v>2024 Sep</c:v>
              </c:pt>
              <c:pt idx="23">
                <c:v>2024 Oct</c:v>
              </c:pt>
              <c:pt idx="24">
                <c:v>2024 Nov</c:v>
              </c:pt>
            </c:strLit>
          </c:cat>
          <c:val>
            <c:numLit>
              <c:formatCode>General</c:formatCode>
              <c:ptCount val="25"/>
              <c:pt idx="0">
                <c:v>1116.010720618229</c:v>
              </c:pt>
              <c:pt idx="1">
                <c:v>4623.472985418377</c:v>
              </c:pt>
              <c:pt idx="2">
                <c:v>3268.3171103819564</c:v>
              </c:pt>
              <c:pt idx="3">
                <c:v>8688.9406105276394</c:v>
              </c:pt>
              <c:pt idx="4">
                <c:v>1195.7257720909597</c:v>
              </c:pt>
              <c:pt idx="5">
                <c:v>6656.2067979730091</c:v>
              </c:pt>
              <c:pt idx="6">
                <c:v>3148.7445331728604</c:v>
              </c:pt>
              <c:pt idx="7">
                <c:v>2192.163915500093</c:v>
              </c:pt>
              <c:pt idx="8">
                <c:v>5580.0536030911444</c:v>
              </c:pt>
              <c:pt idx="9">
                <c:v>3268.3171103819564</c:v>
              </c:pt>
              <c:pt idx="10">
                <c:v>3268.3171103819564</c:v>
              </c:pt>
              <c:pt idx="11">
                <c:v>4464.0428824729161</c:v>
              </c:pt>
              <c:pt idx="12">
                <c:v>2271.8789669728235</c:v>
              </c:pt>
              <c:pt idx="13">
                <c:v>2072.5913382909966</c:v>
              </c:pt>
              <c:pt idx="14">
                <c:v>8051.2201987457956</c:v>
              </c:pt>
              <c:pt idx="15">
                <c:v>9924.5239083549659</c:v>
              </c:pt>
              <c:pt idx="16">
                <c:v>5540.1960773547798</c:v>
              </c:pt>
              <c:pt idx="17">
                <c:v>3507.4622648001487</c:v>
              </c:pt>
              <c:pt idx="18">
                <c:v>3427.7472133274177</c:v>
              </c:pt>
              <c:pt idx="19">
                <c:v>6417.0616435548172</c:v>
              </c:pt>
              <c:pt idx="20">
                <c:v>3348.0321618546873</c:v>
              </c:pt>
              <c:pt idx="21">
                <c:v>7333.7847354912201</c:v>
              </c:pt>
              <c:pt idx="22">
                <c:v>2072.5913382909966</c:v>
              </c:pt>
              <c:pt idx="23">
                <c:v>6696.0643237093736</c:v>
              </c:pt>
              <c:pt idx="24">
                <c:v>2032.7338125546316</c:v>
              </c:pt>
            </c:numLit>
          </c:val>
          <c:extLst>
            <c:ext xmlns:c16="http://schemas.microsoft.com/office/drawing/2014/chart" uri="{C3380CC4-5D6E-409C-BE32-E72D297353CC}">
              <c16:uniqueId val="{00000000-8818-4C38-9600-90EE37A3AE36}"/>
            </c:ext>
          </c:extLst>
        </c:ser>
        <c:dLbls>
          <c:showLegendKey val="0"/>
          <c:showVal val="0"/>
          <c:showCatName val="0"/>
          <c:showSerName val="0"/>
          <c:showPercent val="0"/>
          <c:showBubbleSize val="0"/>
        </c:dLbls>
        <c:gapWidth val="33"/>
        <c:axId val="144293119"/>
        <c:axId val="144291679"/>
      </c:barChart>
      <c:lineChart>
        <c:grouping val="standard"/>
        <c:varyColors val="0"/>
        <c:ser>
          <c:idx val="0"/>
          <c:order val="0"/>
          <c:tx>
            <c:v>Count of ID</c:v>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Lit>
              <c:ptCount val="25"/>
              <c:pt idx="0">
                <c:v>2022 Nov</c:v>
              </c:pt>
              <c:pt idx="1">
                <c:v>2022 Dec</c:v>
              </c:pt>
              <c:pt idx="2">
                <c:v>2023 Jan</c:v>
              </c:pt>
              <c:pt idx="3">
                <c:v>2023 Feb</c:v>
              </c:pt>
              <c:pt idx="4">
                <c:v>2023 Mar</c:v>
              </c:pt>
              <c:pt idx="5">
                <c:v>2023 Apr</c:v>
              </c:pt>
              <c:pt idx="6">
                <c:v>2023 May</c:v>
              </c:pt>
              <c:pt idx="7">
                <c:v>2023 Jun</c:v>
              </c:pt>
              <c:pt idx="8">
                <c:v>2023 Jul</c:v>
              </c:pt>
              <c:pt idx="9">
                <c:v>2023 Aug</c:v>
              </c:pt>
              <c:pt idx="10">
                <c:v>2023 Sep</c:v>
              </c:pt>
              <c:pt idx="11">
                <c:v>2023 Oct</c:v>
              </c:pt>
              <c:pt idx="12">
                <c:v>2023 Nov</c:v>
              </c:pt>
              <c:pt idx="13">
                <c:v>2023 Dec</c:v>
              </c:pt>
              <c:pt idx="14">
                <c:v>2024 Jan</c:v>
              </c:pt>
              <c:pt idx="15">
                <c:v>2024 Feb</c:v>
              </c:pt>
              <c:pt idx="16">
                <c:v>2024 Mar</c:v>
              </c:pt>
              <c:pt idx="17">
                <c:v>2024 Apr</c:v>
              </c:pt>
              <c:pt idx="18">
                <c:v>2024 May</c:v>
              </c:pt>
              <c:pt idx="19">
                <c:v>2024 Jun</c:v>
              </c:pt>
              <c:pt idx="20">
                <c:v>2024 Jul</c:v>
              </c:pt>
              <c:pt idx="21">
                <c:v>2024 Aug</c:v>
              </c:pt>
              <c:pt idx="22">
                <c:v>2024 Sep</c:v>
              </c:pt>
              <c:pt idx="23">
                <c:v>2024 Oct</c:v>
              </c:pt>
              <c:pt idx="24">
                <c:v>2024 Nov</c:v>
              </c:pt>
            </c:strLit>
          </c:cat>
          <c:val>
            <c:numLit>
              <c:formatCode>General</c:formatCode>
              <c:ptCount val="25"/>
              <c:pt idx="0">
                <c:v>1</c:v>
              </c:pt>
              <c:pt idx="1">
                <c:v>4</c:v>
              </c:pt>
              <c:pt idx="2">
                <c:v>3</c:v>
              </c:pt>
              <c:pt idx="3">
                <c:v>8</c:v>
              </c:pt>
              <c:pt idx="4">
                <c:v>1</c:v>
              </c:pt>
              <c:pt idx="5">
                <c:v>6</c:v>
              </c:pt>
              <c:pt idx="6">
                <c:v>3</c:v>
              </c:pt>
              <c:pt idx="7">
                <c:v>2</c:v>
              </c:pt>
              <c:pt idx="8">
                <c:v>5</c:v>
              </c:pt>
              <c:pt idx="9">
                <c:v>3</c:v>
              </c:pt>
              <c:pt idx="10">
                <c:v>3</c:v>
              </c:pt>
              <c:pt idx="11">
                <c:v>4</c:v>
              </c:pt>
              <c:pt idx="12">
                <c:v>2</c:v>
              </c:pt>
              <c:pt idx="13">
                <c:v>2</c:v>
              </c:pt>
              <c:pt idx="14">
                <c:v>7</c:v>
              </c:pt>
              <c:pt idx="15">
                <c:v>9</c:v>
              </c:pt>
              <c:pt idx="16">
                <c:v>5</c:v>
              </c:pt>
              <c:pt idx="17">
                <c:v>3</c:v>
              </c:pt>
              <c:pt idx="18">
                <c:v>3</c:v>
              </c:pt>
              <c:pt idx="19">
                <c:v>6</c:v>
              </c:pt>
              <c:pt idx="20">
                <c:v>3</c:v>
              </c:pt>
              <c:pt idx="21">
                <c:v>7</c:v>
              </c:pt>
              <c:pt idx="22">
                <c:v>2</c:v>
              </c:pt>
              <c:pt idx="23">
                <c:v>6</c:v>
              </c:pt>
              <c:pt idx="24">
                <c:v>2</c:v>
              </c:pt>
            </c:numLit>
          </c:val>
          <c:smooth val="0"/>
          <c:extLst>
            <c:ext xmlns:c16="http://schemas.microsoft.com/office/drawing/2014/chart" uri="{C3380CC4-5D6E-409C-BE32-E72D297353CC}">
              <c16:uniqueId val="{00000001-8818-4C38-9600-90EE37A3AE36}"/>
            </c:ext>
          </c:extLst>
        </c:ser>
        <c:dLbls>
          <c:showLegendKey val="0"/>
          <c:showVal val="0"/>
          <c:showCatName val="0"/>
          <c:showSerName val="0"/>
          <c:showPercent val="0"/>
          <c:showBubbleSize val="0"/>
        </c:dLbls>
        <c:marker val="1"/>
        <c:smooth val="0"/>
        <c:axId val="722316719"/>
        <c:axId val="722314799"/>
      </c:lineChart>
      <c:catAx>
        <c:axId val="722316719"/>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Registration Date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2314799"/>
        <c:crosses val="autoZero"/>
        <c:auto val="1"/>
        <c:lblAlgn val="ctr"/>
        <c:lblOffset val="100"/>
        <c:noMultiLvlLbl val="0"/>
      </c:catAx>
      <c:valAx>
        <c:axId val="722314799"/>
        <c:scaling>
          <c:orientation val="minMax"/>
        </c:scaling>
        <c:delete val="0"/>
        <c:axPos val="r"/>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ID</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2316719"/>
        <c:crosses val="max"/>
        <c:crossBetween val="between"/>
      </c:valAx>
      <c:valAx>
        <c:axId val="1442916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4293119"/>
        <c:crosses val="autoZero"/>
        <c:crossBetween val="between"/>
      </c:valAx>
      <c:catAx>
        <c:axId val="144293119"/>
        <c:scaling>
          <c:orientation val="minMax"/>
        </c:scaling>
        <c:delete val="1"/>
        <c:axPos val="b"/>
        <c:numFmt formatCode="General" sourceLinked="1"/>
        <c:majorTickMark val="none"/>
        <c:minorTickMark val="none"/>
        <c:tickLblPos val="nextTo"/>
        <c:crossAx val="14429167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Ticket Sales by Session Type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MT"/>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MT"/>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3"/>
              <c:pt idx="0">
                <c:v>Leadership</c:v>
              </c:pt>
              <c:pt idx="1">
                <c:v>Marketing</c:v>
              </c:pt>
              <c:pt idx="2">
                <c:v>Technology</c:v>
              </c:pt>
            </c:strLit>
          </c:cat>
          <c:val>
            <c:numLit>
              <c:formatCode>General</c:formatCode>
              <c:ptCount val="3"/>
              <c:pt idx="0">
                <c:v>39538.665530474405</c:v>
              </c:pt>
              <c:pt idx="1">
                <c:v>40375.673570938081</c:v>
              </c:pt>
              <c:pt idx="2">
                <c:v>30251.862033901274</c:v>
              </c:pt>
            </c:numLit>
          </c:val>
          <c:extLst>
            <c:ext xmlns:c16="http://schemas.microsoft.com/office/drawing/2014/chart" uri="{C3380CC4-5D6E-409C-BE32-E72D297353CC}">
              <c16:uniqueId val="{00000000-8846-4E7C-9F20-088F126AAC22}"/>
            </c:ext>
          </c:extLst>
        </c:ser>
        <c:dLbls>
          <c:dLblPos val="inEnd"/>
          <c:showLegendKey val="0"/>
          <c:showVal val="1"/>
          <c:showCatName val="0"/>
          <c:showSerName val="0"/>
          <c:showPercent val="0"/>
          <c:showBubbleSize val="0"/>
        </c:dLbls>
        <c:gapWidth val="65"/>
        <c:axId val="458903375"/>
        <c:axId val="458900495"/>
      </c:barChart>
      <c:catAx>
        <c:axId val="45890337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58900495"/>
        <c:crosses val="autoZero"/>
        <c:auto val="1"/>
        <c:lblAlgn val="ctr"/>
        <c:lblOffset val="100"/>
        <c:noMultiLvlLbl val="0"/>
      </c:catAx>
      <c:valAx>
        <c:axId val="458900495"/>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458903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Attendance Type</a:t>
            </a:r>
          </a:p>
        </c:rich>
      </c:tx>
      <c:layout>
        <c:manualLayout>
          <c:xMode val="edge"/>
          <c:yMode val="edge"/>
          <c:x val="0.36194444444444451"/>
          <c:y val="3.601633129192184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T"/>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v>Total</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F2C-4B5F-8CF1-525D98106C0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F2C-4B5F-8CF1-525D98106C0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M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Lit>
              <c:ptCount val="2"/>
              <c:pt idx="0">
                <c:v>In-Person</c:v>
              </c:pt>
              <c:pt idx="1">
                <c:v>Online</c:v>
              </c:pt>
            </c:strLit>
          </c:cat>
          <c:val>
            <c:numLit>
              <c:formatCode>General</c:formatCode>
              <c:ptCount val="2"/>
              <c:pt idx="0">
                <c:v>0.59</c:v>
              </c:pt>
              <c:pt idx="1">
                <c:v>0.41</c:v>
              </c:pt>
            </c:numLit>
          </c:val>
          <c:extLst>
            <c:ext xmlns:c16="http://schemas.microsoft.com/office/drawing/2014/chart" uri="{C3380CC4-5D6E-409C-BE32-E72D297353CC}">
              <c16:uniqueId val="{00000004-DF2C-4B5F-8CF1-525D98106C0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'Projection_Registration count'!$B$1</c:f>
              <c:strCache>
                <c:ptCount val="1"/>
                <c:pt idx="0">
                  <c:v># of Registrations</c:v>
                </c:pt>
              </c:strCache>
            </c:strRef>
          </c:tx>
          <c:spPr>
            <a:ln w="28575" cap="rnd">
              <a:solidFill>
                <a:schemeClr val="accent1"/>
              </a:solidFill>
              <a:round/>
            </a:ln>
            <a:effectLst/>
          </c:spPr>
          <c:marker>
            <c:symbol val="none"/>
          </c:marker>
          <c:val>
            <c:numRef>
              <c:f>'Projection_Registration count'!$B$2:$B$40</c:f>
              <c:numCache>
                <c:formatCode>General</c:formatCode>
                <c:ptCount val="39"/>
                <c:pt idx="0">
                  <c:v>1</c:v>
                </c:pt>
                <c:pt idx="1">
                  <c:v>4</c:v>
                </c:pt>
                <c:pt idx="2">
                  <c:v>3</c:v>
                </c:pt>
                <c:pt idx="3">
                  <c:v>8</c:v>
                </c:pt>
                <c:pt idx="4">
                  <c:v>1</c:v>
                </c:pt>
                <c:pt idx="5">
                  <c:v>6</c:v>
                </c:pt>
                <c:pt idx="6">
                  <c:v>3</c:v>
                </c:pt>
                <c:pt idx="7">
                  <c:v>2</c:v>
                </c:pt>
                <c:pt idx="8">
                  <c:v>5</c:v>
                </c:pt>
                <c:pt idx="9">
                  <c:v>3</c:v>
                </c:pt>
                <c:pt idx="10">
                  <c:v>3</c:v>
                </c:pt>
                <c:pt idx="11">
                  <c:v>4</c:v>
                </c:pt>
                <c:pt idx="12">
                  <c:v>2</c:v>
                </c:pt>
                <c:pt idx="13">
                  <c:v>2</c:v>
                </c:pt>
                <c:pt idx="14">
                  <c:v>7</c:v>
                </c:pt>
                <c:pt idx="15">
                  <c:v>9</c:v>
                </c:pt>
                <c:pt idx="16">
                  <c:v>5</c:v>
                </c:pt>
                <c:pt idx="17">
                  <c:v>3</c:v>
                </c:pt>
                <c:pt idx="18">
                  <c:v>3</c:v>
                </c:pt>
                <c:pt idx="19">
                  <c:v>6</c:v>
                </c:pt>
                <c:pt idx="20">
                  <c:v>3</c:v>
                </c:pt>
                <c:pt idx="21">
                  <c:v>7</c:v>
                </c:pt>
                <c:pt idx="22">
                  <c:v>2</c:v>
                </c:pt>
                <c:pt idx="23">
                  <c:v>6</c:v>
                </c:pt>
                <c:pt idx="24">
                  <c:v>2</c:v>
                </c:pt>
              </c:numCache>
            </c:numRef>
          </c:val>
          <c:smooth val="0"/>
          <c:extLst>
            <c:ext xmlns:c16="http://schemas.microsoft.com/office/drawing/2014/chart" uri="{C3380CC4-5D6E-409C-BE32-E72D297353CC}">
              <c16:uniqueId val="{00000000-118E-4B8E-A2ED-643FB78EF681}"/>
            </c:ext>
          </c:extLst>
        </c:ser>
        <c:ser>
          <c:idx val="1"/>
          <c:order val="1"/>
          <c:tx>
            <c:strRef>
              <c:f>'Projection_Registration count'!$C$1</c:f>
              <c:strCache>
                <c:ptCount val="1"/>
                <c:pt idx="0">
                  <c:v>Forecast(# of Registrations)</c:v>
                </c:pt>
              </c:strCache>
            </c:strRef>
          </c:tx>
          <c:spPr>
            <a:ln w="25400" cap="rnd">
              <a:solidFill>
                <a:schemeClr val="accent2"/>
              </a:solidFill>
              <a:round/>
            </a:ln>
            <a:effectLst/>
          </c:spPr>
          <c:marker>
            <c:symbol val="none"/>
          </c:marker>
          <c:cat>
            <c:numRef>
              <c:f>'Projection_Registration count'!$A$2:$A$40</c:f>
              <c:numCache>
                <c:formatCode>m/d/yyyy</c:formatCode>
                <c:ptCount val="39"/>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numCache>
            </c:numRef>
          </c:cat>
          <c:val>
            <c:numRef>
              <c:f>'Projection_Registration count'!$C$2:$C$40</c:f>
              <c:numCache>
                <c:formatCode>General</c:formatCode>
                <c:ptCount val="39"/>
                <c:pt idx="24">
                  <c:v>2</c:v>
                </c:pt>
                <c:pt idx="25">
                  <c:v>4.2064691284812605</c:v>
                </c:pt>
                <c:pt idx="26">
                  <c:v>4.2599793684995166</c:v>
                </c:pt>
                <c:pt idx="27">
                  <c:v>4.3134896085177843</c:v>
                </c:pt>
                <c:pt idx="28">
                  <c:v>4.3669998485360404</c:v>
                </c:pt>
                <c:pt idx="29">
                  <c:v>4.420510088554308</c:v>
                </c:pt>
                <c:pt idx="30">
                  <c:v>4.4740203285725642</c:v>
                </c:pt>
                <c:pt idx="31">
                  <c:v>4.5275305685908318</c:v>
                </c:pt>
                <c:pt idx="32">
                  <c:v>4.5810408086090879</c:v>
                </c:pt>
                <c:pt idx="33">
                  <c:v>4.6345510486273556</c:v>
                </c:pt>
                <c:pt idx="34">
                  <c:v>4.6880612886456117</c:v>
                </c:pt>
                <c:pt idx="35">
                  <c:v>4.7415715286638793</c:v>
                </c:pt>
                <c:pt idx="36">
                  <c:v>4.7950817686821354</c:v>
                </c:pt>
                <c:pt idx="37">
                  <c:v>54.009305382980386</c:v>
                </c:pt>
              </c:numCache>
            </c:numRef>
          </c:val>
          <c:smooth val="0"/>
          <c:extLst>
            <c:ext xmlns:c16="http://schemas.microsoft.com/office/drawing/2014/chart" uri="{C3380CC4-5D6E-409C-BE32-E72D297353CC}">
              <c16:uniqueId val="{00000001-118E-4B8E-A2ED-643FB78EF681}"/>
            </c:ext>
          </c:extLst>
        </c:ser>
        <c:ser>
          <c:idx val="2"/>
          <c:order val="2"/>
          <c:tx>
            <c:strRef>
              <c:f>'Projection_Registration count'!$D$1</c:f>
              <c:strCache>
                <c:ptCount val="1"/>
                <c:pt idx="0">
                  <c:v>Lower Confidence Bound(# of Registrations)</c:v>
                </c:pt>
              </c:strCache>
            </c:strRef>
          </c:tx>
          <c:spPr>
            <a:ln w="12700" cap="rnd">
              <a:solidFill>
                <a:srgbClr val="C0504D"/>
              </a:solidFill>
              <a:prstDash val="solid"/>
              <a:round/>
            </a:ln>
            <a:effectLst/>
          </c:spPr>
          <c:marker>
            <c:symbol val="none"/>
          </c:marker>
          <c:cat>
            <c:numRef>
              <c:f>'Projection_Registration count'!$A$2:$A$40</c:f>
              <c:numCache>
                <c:formatCode>m/d/yyyy</c:formatCode>
                <c:ptCount val="39"/>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numCache>
            </c:numRef>
          </c:cat>
          <c:val>
            <c:numRef>
              <c:f>'Projection_Registration count'!$D$2:$D$40</c:f>
              <c:numCache>
                <c:formatCode>General</c:formatCode>
                <c:ptCount val="39"/>
                <c:pt idx="24" formatCode="0.00">
                  <c:v>2</c:v>
                </c:pt>
                <c:pt idx="25" formatCode="0.00">
                  <c:v>-0.65722178184794799</c:v>
                </c:pt>
                <c:pt idx="26" formatCode="0.00">
                  <c:v>-0.75458030816154054</c:v>
                </c:pt>
                <c:pt idx="27" formatCode="0.00">
                  <c:v>-0.84868308730270048</c:v>
                </c:pt>
                <c:pt idx="28" formatCode="0.00">
                  <c:v>-0.93980626759784247</c:v>
                </c:pt>
                <c:pt idx="29" formatCode="0.00">
                  <c:v>-1.0281914723735754</c:v>
                </c:pt>
                <c:pt idx="30" formatCode="0.00">
                  <c:v>-1.1140515115095733</c:v>
                </c:pt>
                <c:pt idx="31" formatCode="0.00">
                  <c:v>-1.1975749356595111</c:v>
                </c:pt>
                <c:pt idx="32" formatCode="0.00">
                  <c:v>-1.2789297071590857</c:v>
                </c:pt>
                <c:pt idx="33" formatCode="0.00">
                  <c:v>-1.35826618815884</c:v>
                </c:pt>
                <c:pt idx="34" formatCode="0.00">
                  <c:v>-1.4357195948710721</c:v>
                </c:pt>
                <c:pt idx="35" formatCode="0.00">
                  <c:v>-1.5114120299310718</c:v>
                </c:pt>
                <c:pt idx="36" formatCode="0.00">
                  <c:v>-1.5854541781411013</c:v>
                </c:pt>
              </c:numCache>
            </c:numRef>
          </c:val>
          <c:smooth val="0"/>
          <c:extLst>
            <c:ext xmlns:c16="http://schemas.microsoft.com/office/drawing/2014/chart" uri="{C3380CC4-5D6E-409C-BE32-E72D297353CC}">
              <c16:uniqueId val="{00000002-118E-4B8E-A2ED-643FB78EF681}"/>
            </c:ext>
          </c:extLst>
        </c:ser>
        <c:ser>
          <c:idx val="3"/>
          <c:order val="3"/>
          <c:tx>
            <c:strRef>
              <c:f>'Projection_Registration count'!$E$1</c:f>
              <c:strCache>
                <c:ptCount val="1"/>
                <c:pt idx="0">
                  <c:v>Upper Confidence Bound(# of Registrations)</c:v>
                </c:pt>
              </c:strCache>
            </c:strRef>
          </c:tx>
          <c:spPr>
            <a:ln w="12700" cap="rnd">
              <a:solidFill>
                <a:srgbClr val="C0504D"/>
              </a:solidFill>
              <a:prstDash val="solid"/>
              <a:round/>
            </a:ln>
            <a:effectLst/>
          </c:spPr>
          <c:marker>
            <c:symbol val="none"/>
          </c:marker>
          <c:cat>
            <c:numRef>
              <c:f>'Projection_Registration count'!$A$2:$A$40</c:f>
              <c:numCache>
                <c:formatCode>m/d/yyyy</c:formatCode>
                <c:ptCount val="39"/>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numCache>
            </c:numRef>
          </c:cat>
          <c:val>
            <c:numRef>
              <c:f>'Projection_Registration count'!$E$2:$E$40</c:f>
              <c:numCache>
                <c:formatCode>General</c:formatCode>
                <c:ptCount val="39"/>
                <c:pt idx="24" formatCode="0.00">
                  <c:v>2</c:v>
                </c:pt>
                <c:pt idx="25" formatCode="0.00">
                  <c:v>9.0701600388104691</c:v>
                </c:pt>
                <c:pt idx="26" formatCode="0.00">
                  <c:v>9.2745390451605729</c:v>
                </c:pt>
                <c:pt idx="27" formatCode="0.00">
                  <c:v>9.4756623043382682</c:v>
                </c:pt>
                <c:pt idx="28" formatCode="0.00">
                  <c:v>9.6738059646699242</c:v>
                </c:pt>
                <c:pt idx="29" formatCode="0.00">
                  <c:v>9.8692116494821924</c:v>
                </c:pt>
                <c:pt idx="30" formatCode="0.00">
                  <c:v>10.062092168654701</c:v>
                </c:pt>
                <c:pt idx="31" formatCode="0.00">
                  <c:v>10.252636072841174</c:v>
                </c:pt>
                <c:pt idx="32" formatCode="0.00">
                  <c:v>10.441011324377261</c:v>
                </c:pt>
                <c:pt idx="33" formatCode="0.00">
                  <c:v>10.627368285413551</c:v>
                </c:pt>
                <c:pt idx="34" formatCode="0.00">
                  <c:v>10.811842172162295</c:v>
                </c:pt>
                <c:pt idx="35" formatCode="0.00">
                  <c:v>10.994555087258831</c:v>
                </c:pt>
                <c:pt idx="36" formatCode="0.00">
                  <c:v>11.175617715505371</c:v>
                </c:pt>
              </c:numCache>
            </c:numRef>
          </c:val>
          <c:smooth val="0"/>
          <c:extLst>
            <c:ext xmlns:c16="http://schemas.microsoft.com/office/drawing/2014/chart" uri="{C3380CC4-5D6E-409C-BE32-E72D297353CC}">
              <c16:uniqueId val="{00000003-118E-4B8E-A2ED-643FB78EF681}"/>
            </c:ext>
          </c:extLst>
        </c:ser>
        <c:dLbls>
          <c:showLegendKey val="0"/>
          <c:showVal val="0"/>
          <c:showCatName val="0"/>
          <c:showSerName val="0"/>
          <c:showPercent val="0"/>
          <c:showBubbleSize val="0"/>
        </c:dLbls>
        <c:smooth val="0"/>
        <c:axId val="459991535"/>
        <c:axId val="460008815"/>
      </c:lineChart>
      <c:catAx>
        <c:axId val="459991535"/>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008815"/>
        <c:crosses val="autoZero"/>
        <c:auto val="1"/>
        <c:lblAlgn val="ctr"/>
        <c:lblOffset val="100"/>
        <c:noMultiLvlLbl val="0"/>
      </c:catAx>
      <c:valAx>
        <c:axId val="4600088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9915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assignment.xlsm]Summary!PivotTable1</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Cell count of 'ID' by year and month of 'Registration Date'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M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M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MT"/>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MT"/>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Summary!$F$4</c:f>
              <c:strCache>
                <c:ptCount val="1"/>
                <c:pt idx="0">
                  <c:v>Sum of Ticket Price</c:v>
                </c:pt>
              </c:strCache>
            </c:strRef>
          </c:tx>
          <c:spPr>
            <a:solidFill>
              <a:schemeClr val="accent2"/>
            </a:solidFill>
            <a:ln>
              <a:noFill/>
            </a:ln>
            <a:effectLst/>
          </c:spPr>
          <c:invertIfNegative val="0"/>
          <c:cat>
            <c:multiLvlStrRef>
              <c:f>Summary!$C$5:$D$33</c:f>
              <c:multiLvlStrCache>
                <c:ptCount val="25"/>
                <c:lvl>
                  <c:pt idx="0">
                    <c:v>Nov</c:v>
                  </c:pt>
                  <c:pt idx="1">
                    <c:v>Dec</c:v>
                  </c:pt>
                  <c:pt idx="2">
                    <c:v>Jan</c:v>
                  </c:pt>
                  <c:pt idx="3">
                    <c:v>Feb</c:v>
                  </c:pt>
                  <c:pt idx="4">
                    <c:v>Mar</c:v>
                  </c:pt>
                  <c:pt idx="5">
                    <c:v>Apr</c:v>
                  </c:pt>
                  <c:pt idx="6">
                    <c:v>May</c:v>
                  </c:pt>
                  <c:pt idx="7">
                    <c:v>Jun</c:v>
                  </c:pt>
                  <c:pt idx="8">
                    <c:v>Jul</c:v>
                  </c:pt>
                  <c:pt idx="9">
                    <c:v>Aug</c:v>
                  </c:pt>
                  <c:pt idx="10">
                    <c:v>Sep</c:v>
                  </c:pt>
                  <c:pt idx="11">
                    <c:v>Oct</c:v>
                  </c:pt>
                  <c:pt idx="12">
                    <c:v>Nov</c:v>
                  </c:pt>
                  <c:pt idx="13">
                    <c:v>Dec</c:v>
                  </c:pt>
                  <c:pt idx="14">
                    <c:v>Jan</c:v>
                  </c:pt>
                  <c:pt idx="15">
                    <c:v>Feb</c:v>
                  </c:pt>
                  <c:pt idx="16">
                    <c:v>Mar</c:v>
                  </c:pt>
                  <c:pt idx="17">
                    <c:v>Apr</c:v>
                  </c:pt>
                  <c:pt idx="18">
                    <c:v>May</c:v>
                  </c:pt>
                  <c:pt idx="19">
                    <c:v>Jun</c:v>
                  </c:pt>
                  <c:pt idx="20">
                    <c:v>Jul</c:v>
                  </c:pt>
                  <c:pt idx="21">
                    <c:v>Aug</c:v>
                  </c:pt>
                  <c:pt idx="22">
                    <c:v>Sep</c:v>
                  </c:pt>
                  <c:pt idx="23">
                    <c:v>Oct</c:v>
                  </c:pt>
                  <c:pt idx="24">
                    <c:v>Nov</c:v>
                  </c:pt>
                </c:lvl>
                <c:lvl>
                  <c:pt idx="0">
                    <c:v>2022</c:v>
                  </c:pt>
                  <c:pt idx="2">
                    <c:v>2023</c:v>
                  </c:pt>
                  <c:pt idx="14">
                    <c:v>2024</c:v>
                  </c:pt>
                </c:lvl>
              </c:multiLvlStrCache>
            </c:multiLvlStrRef>
          </c:cat>
          <c:val>
            <c:numRef>
              <c:f>Summary!$F$5:$F$33</c:f>
              <c:numCache>
                <c:formatCode>_-"$"* #,##0_-;\-"$"* #,##0_-;_-"$"* "-"??_-;_-@_-</c:formatCode>
                <c:ptCount val="25"/>
                <c:pt idx="0">
                  <c:v>1116.010720618229</c:v>
                </c:pt>
                <c:pt idx="1">
                  <c:v>4623.472985418377</c:v>
                </c:pt>
                <c:pt idx="2">
                  <c:v>3268.3171103819564</c:v>
                </c:pt>
                <c:pt idx="3">
                  <c:v>8688.9406105276394</c:v>
                </c:pt>
                <c:pt idx="4">
                  <c:v>1195.7257720909597</c:v>
                </c:pt>
                <c:pt idx="5">
                  <c:v>6656.2067979730091</c:v>
                </c:pt>
                <c:pt idx="6">
                  <c:v>3148.7445331728604</c:v>
                </c:pt>
                <c:pt idx="7">
                  <c:v>2192.163915500093</c:v>
                </c:pt>
                <c:pt idx="8">
                  <c:v>5580.0536030911444</c:v>
                </c:pt>
                <c:pt idx="9">
                  <c:v>3268.3171103819564</c:v>
                </c:pt>
                <c:pt idx="10">
                  <c:v>3268.3171103819564</c:v>
                </c:pt>
                <c:pt idx="11">
                  <c:v>4464.0428824729161</c:v>
                </c:pt>
                <c:pt idx="12">
                  <c:v>2271.8789669728235</c:v>
                </c:pt>
                <c:pt idx="13">
                  <c:v>2072.5913382909966</c:v>
                </c:pt>
                <c:pt idx="14">
                  <c:v>8051.2201987457956</c:v>
                </c:pt>
                <c:pt idx="15">
                  <c:v>9924.5239083549659</c:v>
                </c:pt>
                <c:pt idx="16">
                  <c:v>5540.1960773547798</c:v>
                </c:pt>
                <c:pt idx="17">
                  <c:v>3507.4622648001487</c:v>
                </c:pt>
                <c:pt idx="18">
                  <c:v>3427.7472133274177</c:v>
                </c:pt>
                <c:pt idx="19">
                  <c:v>6417.0616435548172</c:v>
                </c:pt>
                <c:pt idx="20">
                  <c:v>3348.0321618546873</c:v>
                </c:pt>
                <c:pt idx="21">
                  <c:v>7333.7847354912201</c:v>
                </c:pt>
                <c:pt idx="22">
                  <c:v>2072.5913382909966</c:v>
                </c:pt>
                <c:pt idx="23">
                  <c:v>6696.0643237093736</c:v>
                </c:pt>
                <c:pt idx="24">
                  <c:v>2032.7338125546316</c:v>
                </c:pt>
              </c:numCache>
            </c:numRef>
          </c:val>
          <c:extLst>
            <c:ext xmlns:c16="http://schemas.microsoft.com/office/drawing/2014/chart" uri="{C3380CC4-5D6E-409C-BE32-E72D297353CC}">
              <c16:uniqueId val="{00000000-428B-4B37-85C4-D6601EE7898B}"/>
            </c:ext>
          </c:extLst>
        </c:ser>
        <c:dLbls>
          <c:showLegendKey val="0"/>
          <c:showVal val="0"/>
          <c:showCatName val="0"/>
          <c:showSerName val="0"/>
          <c:showPercent val="0"/>
          <c:showBubbleSize val="0"/>
        </c:dLbls>
        <c:gapWidth val="33"/>
        <c:axId val="144293119"/>
        <c:axId val="144291679"/>
      </c:barChart>
      <c:lineChart>
        <c:grouping val="standard"/>
        <c:varyColors val="0"/>
        <c:ser>
          <c:idx val="0"/>
          <c:order val="0"/>
          <c:tx>
            <c:strRef>
              <c:f>Summary!$E$4</c:f>
              <c:strCache>
                <c:ptCount val="1"/>
                <c:pt idx="0">
                  <c:v>Count of ID</c:v>
                </c:pt>
              </c:strCache>
            </c:strRef>
          </c:tx>
          <c:spPr>
            <a:ln w="28575" cap="rnd">
              <a:solidFill>
                <a:schemeClr val="accent1"/>
              </a:solidFill>
              <a:round/>
            </a:ln>
            <a:effectLst/>
          </c:spPr>
          <c:marker>
            <c:symbol val="none"/>
          </c:marker>
          <c:cat>
            <c:multiLvlStrRef>
              <c:f>Summary!$C$5:$D$33</c:f>
              <c:multiLvlStrCache>
                <c:ptCount val="25"/>
                <c:lvl>
                  <c:pt idx="0">
                    <c:v>Nov</c:v>
                  </c:pt>
                  <c:pt idx="1">
                    <c:v>Dec</c:v>
                  </c:pt>
                  <c:pt idx="2">
                    <c:v>Jan</c:v>
                  </c:pt>
                  <c:pt idx="3">
                    <c:v>Feb</c:v>
                  </c:pt>
                  <c:pt idx="4">
                    <c:v>Mar</c:v>
                  </c:pt>
                  <c:pt idx="5">
                    <c:v>Apr</c:v>
                  </c:pt>
                  <c:pt idx="6">
                    <c:v>May</c:v>
                  </c:pt>
                  <c:pt idx="7">
                    <c:v>Jun</c:v>
                  </c:pt>
                  <c:pt idx="8">
                    <c:v>Jul</c:v>
                  </c:pt>
                  <c:pt idx="9">
                    <c:v>Aug</c:v>
                  </c:pt>
                  <c:pt idx="10">
                    <c:v>Sep</c:v>
                  </c:pt>
                  <c:pt idx="11">
                    <c:v>Oct</c:v>
                  </c:pt>
                  <c:pt idx="12">
                    <c:v>Nov</c:v>
                  </c:pt>
                  <c:pt idx="13">
                    <c:v>Dec</c:v>
                  </c:pt>
                  <c:pt idx="14">
                    <c:v>Jan</c:v>
                  </c:pt>
                  <c:pt idx="15">
                    <c:v>Feb</c:v>
                  </c:pt>
                  <c:pt idx="16">
                    <c:v>Mar</c:v>
                  </c:pt>
                  <c:pt idx="17">
                    <c:v>Apr</c:v>
                  </c:pt>
                  <c:pt idx="18">
                    <c:v>May</c:v>
                  </c:pt>
                  <c:pt idx="19">
                    <c:v>Jun</c:v>
                  </c:pt>
                  <c:pt idx="20">
                    <c:v>Jul</c:v>
                  </c:pt>
                  <c:pt idx="21">
                    <c:v>Aug</c:v>
                  </c:pt>
                  <c:pt idx="22">
                    <c:v>Sep</c:v>
                  </c:pt>
                  <c:pt idx="23">
                    <c:v>Oct</c:v>
                  </c:pt>
                  <c:pt idx="24">
                    <c:v>Nov</c:v>
                  </c:pt>
                </c:lvl>
                <c:lvl>
                  <c:pt idx="0">
                    <c:v>2022</c:v>
                  </c:pt>
                  <c:pt idx="2">
                    <c:v>2023</c:v>
                  </c:pt>
                  <c:pt idx="14">
                    <c:v>2024</c:v>
                  </c:pt>
                </c:lvl>
              </c:multiLvlStrCache>
            </c:multiLvlStrRef>
          </c:cat>
          <c:val>
            <c:numRef>
              <c:f>Summary!$E$5:$E$33</c:f>
              <c:numCache>
                <c:formatCode>General</c:formatCode>
                <c:ptCount val="25"/>
                <c:pt idx="0">
                  <c:v>1</c:v>
                </c:pt>
                <c:pt idx="1">
                  <c:v>4</c:v>
                </c:pt>
                <c:pt idx="2">
                  <c:v>3</c:v>
                </c:pt>
                <c:pt idx="3">
                  <c:v>8</c:v>
                </c:pt>
                <c:pt idx="4">
                  <c:v>1</c:v>
                </c:pt>
                <c:pt idx="5">
                  <c:v>6</c:v>
                </c:pt>
                <c:pt idx="6">
                  <c:v>3</c:v>
                </c:pt>
                <c:pt idx="7">
                  <c:v>2</c:v>
                </c:pt>
                <c:pt idx="8">
                  <c:v>5</c:v>
                </c:pt>
                <c:pt idx="9">
                  <c:v>3</c:v>
                </c:pt>
                <c:pt idx="10">
                  <c:v>3</c:v>
                </c:pt>
                <c:pt idx="11">
                  <c:v>4</c:v>
                </c:pt>
                <c:pt idx="12">
                  <c:v>2</c:v>
                </c:pt>
                <c:pt idx="13">
                  <c:v>2</c:v>
                </c:pt>
                <c:pt idx="14">
                  <c:v>7</c:v>
                </c:pt>
                <c:pt idx="15">
                  <c:v>9</c:v>
                </c:pt>
                <c:pt idx="16">
                  <c:v>5</c:v>
                </c:pt>
                <c:pt idx="17">
                  <c:v>3</c:v>
                </c:pt>
                <c:pt idx="18">
                  <c:v>3</c:v>
                </c:pt>
                <c:pt idx="19">
                  <c:v>6</c:v>
                </c:pt>
                <c:pt idx="20">
                  <c:v>3</c:v>
                </c:pt>
                <c:pt idx="21">
                  <c:v>7</c:v>
                </c:pt>
                <c:pt idx="22">
                  <c:v>2</c:v>
                </c:pt>
                <c:pt idx="23">
                  <c:v>6</c:v>
                </c:pt>
                <c:pt idx="24">
                  <c:v>2</c:v>
                </c:pt>
              </c:numCache>
            </c:numRef>
          </c:val>
          <c:smooth val="0"/>
          <c:extLst>
            <c:ext xmlns:c16="http://schemas.microsoft.com/office/drawing/2014/chart" uri="{C3380CC4-5D6E-409C-BE32-E72D297353CC}">
              <c16:uniqueId val="{00000001-428B-4B37-85C4-D6601EE7898B}"/>
            </c:ext>
          </c:extLst>
        </c:ser>
        <c:dLbls>
          <c:showLegendKey val="0"/>
          <c:showVal val="0"/>
          <c:showCatName val="0"/>
          <c:showSerName val="0"/>
          <c:showPercent val="0"/>
          <c:showBubbleSize val="0"/>
        </c:dLbls>
        <c:marker val="1"/>
        <c:smooth val="0"/>
        <c:axId val="722316719"/>
        <c:axId val="722314799"/>
      </c:lineChart>
      <c:catAx>
        <c:axId val="72231671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Registration 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314799"/>
        <c:crosses val="autoZero"/>
        <c:auto val="1"/>
        <c:lblAlgn val="ctr"/>
        <c:lblOffset val="100"/>
        <c:noMultiLvlLbl val="0"/>
      </c:catAx>
      <c:valAx>
        <c:axId val="722314799"/>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316719"/>
        <c:crosses val="max"/>
        <c:crossBetween val="between"/>
      </c:valAx>
      <c:valAx>
        <c:axId val="144291679"/>
        <c:scaling>
          <c:orientation val="minMax"/>
        </c:scaling>
        <c:delete val="0"/>
        <c:axPos val="l"/>
        <c:numFmt formatCode="_-&quot;$&quot;* #,##0_-;\-&quot;$&quot;* #,##0_-;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93119"/>
        <c:crosses val="autoZero"/>
        <c:crossBetween val="between"/>
      </c:valAx>
      <c:catAx>
        <c:axId val="144293119"/>
        <c:scaling>
          <c:orientation val="minMax"/>
        </c:scaling>
        <c:delete val="1"/>
        <c:axPos val="b"/>
        <c:numFmt formatCode="General" sourceLinked="1"/>
        <c:majorTickMark val="out"/>
        <c:minorTickMark val="none"/>
        <c:tickLblPos val="nextTo"/>
        <c:crossAx val="14429167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10</xdr:col>
          <xdr:colOff>0</xdr:colOff>
          <xdr:row>0</xdr:row>
          <xdr:rowOff>124691</xdr:rowOff>
        </xdr:from>
        <xdr:ext cx="1230284" cy="482138"/>
        <xdr:sp macro="" textlink="">
          <xdr:nvSpPr>
            <xdr:cNvPr id="3073" name="CommandButton1" hidden="1">
              <a:extLst>
                <a:ext uri="{63B3BB69-23CF-44E3-9099-C40C66FF867C}">
                  <a14:compatExt spid="_x0000_s3073"/>
                </a:ext>
                <a:ext uri="{FF2B5EF4-FFF2-40B4-BE49-F238E27FC236}">
                  <a16:creationId xmlns:a16="http://schemas.microsoft.com/office/drawing/2014/main" id="{8D9E674F-3812-49C2-8730-9AB18C55053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one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133349</xdr:colOff>
      <xdr:row>18</xdr:row>
      <xdr:rowOff>114300</xdr:rowOff>
    </xdr:from>
    <xdr:to>
      <xdr:col>16</xdr:col>
      <xdr:colOff>342900</xdr:colOff>
      <xdr:row>38</xdr:row>
      <xdr:rowOff>47624</xdr:rowOff>
    </xdr:to>
    <xdr:graphicFrame macro="">
      <xdr:nvGraphicFramePr>
        <xdr:cNvPr id="2" name="Chart 1" descr="Chart type: Clustered Bar. Cell count of 'ID' by year and month of 'Registration Date'&#10;&#10;Description automatically generated">
          <a:extLst>
            <a:ext uri="{FF2B5EF4-FFF2-40B4-BE49-F238E27FC236}">
              <a16:creationId xmlns:a16="http://schemas.microsoft.com/office/drawing/2014/main" id="{408492F1-1030-4CC0-A775-C0A052AAAD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39</xdr:row>
      <xdr:rowOff>180975</xdr:rowOff>
    </xdr:from>
    <xdr:to>
      <xdr:col>8</xdr:col>
      <xdr:colOff>438150</xdr:colOff>
      <xdr:row>57</xdr:row>
      <xdr:rowOff>49876</xdr:rowOff>
    </xdr:to>
    <xdr:graphicFrame macro="">
      <xdr:nvGraphicFramePr>
        <xdr:cNvPr id="3" name="Chart 2">
          <a:extLst>
            <a:ext uri="{FF2B5EF4-FFF2-40B4-BE49-F238E27FC236}">
              <a16:creationId xmlns:a16="http://schemas.microsoft.com/office/drawing/2014/main" id="{9C92901D-D90E-43DF-88A1-4E0061B470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561975</xdr:colOff>
      <xdr:row>39</xdr:row>
      <xdr:rowOff>161925</xdr:rowOff>
    </xdr:from>
    <xdr:to>
      <xdr:col>16</xdr:col>
      <xdr:colOff>257175</xdr:colOff>
      <xdr:row>57</xdr:row>
      <xdr:rowOff>16625</xdr:rowOff>
    </xdr:to>
    <xdr:graphicFrame macro="">
      <xdr:nvGraphicFramePr>
        <xdr:cNvPr id="4" name="Chart 3">
          <a:extLst>
            <a:ext uri="{FF2B5EF4-FFF2-40B4-BE49-F238E27FC236}">
              <a16:creationId xmlns:a16="http://schemas.microsoft.com/office/drawing/2014/main" id="{A8A7CB3C-15F9-4160-9AB2-3C43E9AD85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10</xdr:col>
      <xdr:colOff>485774</xdr:colOff>
      <xdr:row>4</xdr:row>
      <xdr:rowOff>123826</xdr:rowOff>
    </xdr:from>
    <xdr:ext cx="2118880" cy="1147156"/>
    <mc:AlternateContent xmlns:mc="http://schemas.openxmlformats.org/markup-compatibility/2006">
      <mc:Choice xmlns:a14="http://schemas.microsoft.com/office/drawing/2010/main" Requires="a14">
        <xdr:graphicFrame macro="">
          <xdr:nvGraphicFramePr>
            <xdr:cNvPr id="5" name="Session Preference">
              <a:extLst>
                <a:ext uri="{FF2B5EF4-FFF2-40B4-BE49-F238E27FC236}">
                  <a16:creationId xmlns:a16="http://schemas.microsoft.com/office/drawing/2014/main" id="{11AAA488-377A-4B0E-AC9F-6406AE2256E8}"/>
                </a:ext>
              </a:extLst>
            </xdr:cNvPr>
            <xdr:cNvGraphicFramePr/>
          </xdr:nvGraphicFramePr>
          <xdr:xfrm>
            <a:off x="0" y="0"/>
            <a:ext cx="0" cy="0"/>
          </xdr:xfrm>
          <a:graphic>
            <a:graphicData uri="http://schemas.microsoft.com/office/drawing/2010/slicer">
              <sle:slicer xmlns:sle="http://schemas.microsoft.com/office/drawing/2010/slicer" name="Session Preference"/>
            </a:graphicData>
          </a:graphic>
        </xdr:graphicFrame>
      </mc:Choice>
      <mc:Fallback>
        <xdr:sp macro="" textlink="">
          <xdr:nvSpPr>
            <xdr:cNvPr id="0" name=""/>
            <xdr:cNvSpPr>
              <a:spLocks noTextEdit="1"/>
            </xdr:cNvSpPr>
          </xdr:nvSpPr>
          <xdr:spPr>
            <a:xfrm>
              <a:off x="9355454" y="888597"/>
              <a:ext cx="2118880" cy="1147156"/>
            </a:xfrm>
            <a:prstGeom prst="rect">
              <a:avLst/>
            </a:prstGeom>
            <a:solidFill>
              <a:prstClr val="white"/>
            </a:solidFill>
            <a:ln w="1">
              <a:solidFill>
                <a:prstClr val="green"/>
              </a:solidFill>
            </a:ln>
          </xdr:spPr>
          <xdr:txBody>
            <a:bodyPr vertOverflow="clip" horzOverflow="clip"/>
            <a:lstStyle/>
            <a:p>
              <a:r>
                <a:rPr lang="en-M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xdr:col>
      <xdr:colOff>142875</xdr:colOff>
      <xdr:row>4</xdr:row>
      <xdr:rowOff>123823</xdr:rowOff>
    </xdr:from>
    <xdr:ext cx="6346248" cy="1147157"/>
    <mc:AlternateContent xmlns:mc="http://schemas.openxmlformats.org/markup-compatibility/2006">
      <mc:Choice xmlns:tsle="http://schemas.microsoft.com/office/drawing/2012/timeslicer" Requires="tsle">
        <xdr:graphicFrame macro="">
          <xdr:nvGraphicFramePr>
            <xdr:cNvPr id="6" name="Registration Date">
              <a:extLst>
                <a:ext uri="{FF2B5EF4-FFF2-40B4-BE49-F238E27FC236}">
                  <a16:creationId xmlns:a16="http://schemas.microsoft.com/office/drawing/2014/main" id="{7D9B3B41-82F2-499A-BE0D-26FD5DDFD182}"/>
                </a:ext>
              </a:extLst>
            </xdr:cNvPr>
            <xdr:cNvGraphicFramePr/>
          </xdr:nvGraphicFramePr>
          <xdr:xfrm>
            <a:off x="0" y="0"/>
            <a:ext cx="0" cy="0"/>
          </xdr:xfrm>
          <a:graphic>
            <a:graphicData uri="http://schemas.microsoft.com/office/drawing/2012/timeslicer">
              <tsle:timeslicer xmlns:tsle="http://schemas.microsoft.com/office/drawing/2012/timeslicer" name="Registration Date"/>
            </a:graphicData>
          </a:graphic>
        </xdr:graphicFrame>
      </mc:Choice>
      <mc:Fallback>
        <xdr:sp macro="" textlink="">
          <xdr:nvSpPr>
            <xdr:cNvPr id="0" name=""/>
            <xdr:cNvSpPr>
              <a:spLocks noTextEdit="1"/>
            </xdr:cNvSpPr>
          </xdr:nvSpPr>
          <xdr:spPr>
            <a:xfrm>
              <a:off x="807893" y="888594"/>
              <a:ext cx="6346248" cy="1147157"/>
            </a:xfrm>
            <a:prstGeom prst="rect">
              <a:avLst/>
            </a:prstGeom>
            <a:solidFill>
              <a:prstClr val="white"/>
            </a:solidFill>
            <a:ln w="1">
              <a:solidFill>
                <a:prstClr val="green"/>
              </a:solidFill>
            </a:ln>
          </xdr:spPr>
          <xdr:txBody>
            <a:bodyPr vertOverflow="clip" horzOverflow="clip"/>
            <a:lstStyle/>
            <a:p>
              <a:r>
                <a:rPr lang="en-MT" sz="1100"/>
                <a:t>Timeline: Works in Excel 2013 or higher. Do not move or resize.</a:t>
              </a:r>
            </a:p>
          </xdr:txBody>
        </xdr:sp>
      </mc:Fallback>
    </mc:AlternateContent>
    <xdr:clientData/>
  </xdr:oneCellAnchor>
  <mc:AlternateContent xmlns:mc="http://schemas.openxmlformats.org/markup-compatibility/2006">
    <mc:Choice xmlns:a14="http://schemas.microsoft.com/office/drawing/2010/main" Requires="a14">
      <xdr:oneCellAnchor>
        <xdr:from>
          <xdr:col>14</xdr:col>
          <xdr:colOff>133004</xdr:colOff>
          <xdr:row>0</xdr:row>
          <xdr:rowOff>0</xdr:rowOff>
        </xdr:from>
        <xdr:ext cx="1197032" cy="581891"/>
        <xdr:sp macro="" textlink="">
          <xdr:nvSpPr>
            <xdr:cNvPr id="2049" name="RefreshButton" hidden="1">
              <a:extLst>
                <a:ext uri="{63B3BB69-23CF-44E3-9099-C40C66FF867C}">
                  <a14:compatExt spid="_x0000_s2049"/>
                </a:ext>
                <a:ext uri="{FF2B5EF4-FFF2-40B4-BE49-F238E27FC236}">
                  <a16:creationId xmlns:a16="http://schemas.microsoft.com/office/drawing/2014/main" id="{7284310A-72A3-4FD1-BC60-7A50CAAA63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one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180975</xdr:colOff>
      <xdr:row>0</xdr:row>
      <xdr:rowOff>23812</xdr:rowOff>
    </xdr:from>
    <xdr:to>
      <xdr:col>16</xdr:col>
      <xdr:colOff>381000</xdr:colOff>
      <xdr:row>15</xdr:row>
      <xdr:rowOff>100012</xdr:rowOff>
    </xdr:to>
    <xdr:graphicFrame macro="">
      <xdr:nvGraphicFramePr>
        <xdr:cNvPr id="2" name="Chart 1">
          <a:extLst>
            <a:ext uri="{FF2B5EF4-FFF2-40B4-BE49-F238E27FC236}">
              <a16:creationId xmlns:a16="http://schemas.microsoft.com/office/drawing/2014/main" id="{1F966F9E-F93D-4B85-A720-FF7883C457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66674</xdr:colOff>
      <xdr:row>2</xdr:row>
      <xdr:rowOff>152399</xdr:rowOff>
    </xdr:from>
    <xdr:to>
      <xdr:col>17</xdr:col>
      <xdr:colOff>381000</xdr:colOff>
      <xdr:row>31</xdr:row>
      <xdr:rowOff>66675</xdr:rowOff>
    </xdr:to>
    <xdr:graphicFrame macro="">
      <xdr:nvGraphicFramePr>
        <xdr:cNvPr id="2" name="Chart 1" descr="Chart type: Clustered Bar. Cell count of 'ID' by year and month of 'Registration Date'&#10;&#10;Description automatically generated">
          <a:extLst>
            <a:ext uri="{FF2B5EF4-FFF2-40B4-BE49-F238E27FC236}">
              <a16:creationId xmlns:a16="http://schemas.microsoft.com/office/drawing/2014/main" id="{ADB8C09D-1595-4DAC-AAED-8EC0F9BE2A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32c8e890c27b5fb8/Curso%20excel/Event%20dashboard.xlsm" TargetMode="External"/><Relationship Id="rId1" Type="http://schemas.openxmlformats.org/officeDocument/2006/relationships/externalLinkPath" Target="/32c8e890c27b5fb8/Curso%20excel/Event%20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vent_Data"/>
      <sheetName val="Sheet1"/>
    </sheetNames>
    <sheetDataSet>
      <sheetData sheetId="0">
        <row r="2">
          <cell r="F2" t="str">
            <v>None</v>
          </cell>
        </row>
        <row r="3">
          <cell r="F3" t="str">
            <v>Workshop C</v>
          </cell>
        </row>
        <row r="4">
          <cell r="F4" t="str">
            <v>None</v>
          </cell>
        </row>
        <row r="5">
          <cell r="F5" t="str">
            <v>Workshop A</v>
          </cell>
        </row>
        <row r="6">
          <cell r="F6" t="str">
            <v>Workshop B</v>
          </cell>
        </row>
        <row r="7">
          <cell r="F7" t="str">
            <v>Workshop C</v>
          </cell>
        </row>
        <row r="8">
          <cell r="F8" t="str">
            <v>Workshop C</v>
          </cell>
        </row>
        <row r="9">
          <cell r="F9" t="str">
            <v>Workshop B</v>
          </cell>
        </row>
        <row r="10">
          <cell r="F10" t="str">
            <v>Workshop C</v>
          </cell>
        </row>
        <row r="11">
          <cell r="F11" t="str">
            <v>Workshop A</v>
          </cell>
        </row>
        <row r="12">
          <cell r="F12" t="str">
            <v>Workshop C</v>
          </cell>
        </row>
        <row r="13">
          <cell r="F13" t="str">
            <v>Workshop B</v>
          </cell>
        </row>
        <row r="14">
          <cell r="F14" t="str">
            <v>Workshop C</v>
          </cell>
        </row>
        <row r="15">
          <cell r="F15" t="str">
            <v>Workshop A</v>
          </cell>
        </row>
        <row r="16">
          <cell r="F16" t="str">
            <v>Workshop C</v>
          </cell>
        </row>
        <row r="17">
          <cell r="F17" t="str">
            <v>Workshop A</v>
          </cell>
        </row>
        <row r="18">
          <cell r="F18" t="str">
            <v>None</v>
          </cell>
        </row>
        <row r="19">
          <cell r="F19" t="str">
            <v>Workshop A</v>
          </cell>
        </row>
        <row r="20">
          <cell r="F20" t="str">
            <v>None</v>
          </cell>
        </row>
        <row r="21">
          <cell r="F21" t="str">
            <v>Workshop A</v>
          </cell>
        </row>
        <row r="22">
          <cell r="F22" t="str">
            <v>None</v>
          </cell>
        </row>
        <row r="23">
          <cell r="F23" t="str">
            <v>None</v>
          </cell>
        </row>
        <row r="24">
          <cell r="F24" t="str">
            <v>None</v>
          </cell>
        </row>
        <row r="25">
          <cell r="F25" t="str">
            <v>Workshop A</v>
          </cell>
        </row>
        <row r="26">
          <cell r="F26" t="str">
            <v>Workshop A</v>
          </cell>
        </row>
        <row r="27">
          <cell r="F27" t="str">
            <v>Workshop B</v>
          </cell>
        </row>
        <row r="28">
          <cell r="F28" t="str">
            <v>None</v>
          </cell>
        </row>
        <row r="29">
          <cell r="F29" t="str">
            <v>Workshop C</v>
          </cell>
        </row>
        <row r="30">
          <cell r="F30" t="str">
            <v>None</v>
          </cell>
        </row>
        <row r="31">
          <cell r="F31" t="str">
            <v>Workshop C</v>
          </cell>
        </row>
        <row r="32">
          <cell r="F32" t="str">
            <v>Workshop A</v>
          </cell>
        </row>
        <row r="33">
          <cell r="F33" t="str">
            <v>None</v>
          </cell>
        </row>
        <row r="34">
          <cell r="F34" t="str">
            <v>Workshop B</v>
          </cell>
        </row>
        <row r="35">
          <cell r="F35" t="str">
            <v>None</v>
          </cell>
        </row>
        <row r="36">
          <cell r="F36" t="str">
            <v>Workshop C</v>
          </cell>
        </row>
        <row r="37">
          <cell r="F37" t="str">
            <v>None</v>
          </cell>
        </row>
        <row r="38">
          <cell r="F38" t="str">
            <v>Workshop C</v>
          </cell>
        </row>
        <row r="39">
          <cell r="F39" t="str">
            <v>Workshop A</v>
          </cell>
        </row>
        <row r="40">
          <cell r="F40" t="str">
            <v>Workshop B</v>
          </cell>
        </row>
        <row r="41">
          <cell r="F41" t="str">
            <v>Workshop A</v>
          </cell>
        </row>
        <row r="42">
          <cell r="F42" t="str">
            <v>None</v>
          </cell>
        </row>
        <row r="43">
          <cell r="F43" t="str">
            <v>Workshop A</v>
          </cell>
        </row>
        <row r="44">
          <cell r="F44" t="str">
            <v>None</v>
          </cell>
        </row>
        <row r="45">
          <cell r="F45" t="str">
            <v>Workshop A</v>
          </cell>
        </row>
        <row r="46">
          <cell r="F46" t="str">
            <v>None</v>
          </cell>
        </row>
        <row r="47">
          <cell r="F47" t="str">
            <v>None</v>
          </cell>
        </row>
        <row r="48">
          <cell r="F48" t="str">
            <v>None</v>
          </cell>
        </row>
        <row r="49">
          <cell r="F49" t="str">
            <v>None</v>
          </cell>
        </row>
        <row r="50">
          <cell r="F50" t="str">
            <v>Workshop C</v>
          </cell>
        </row>
        <row r="51">
          <cell r="F51" t="str">
            <v>None</v>
          </cell>
        </row>
        <row r="52">
          <cell r="F52" t="str">
            <v>Workshop B</v>
          </cell>
        </row>
        <row r="53">
          <cell r="F53" t="str">
            <v>Workshop A</v>
          </cell>
        </row>
        <row r="54">
          <cell r="F54" t="str">
            <v>None</v>
          </cell>
        </row>
        <row r="55">
          <cell r="F55" t="str">
            <v>Workshop C</v>
          </cell>
        </row>
        <row r="56">
          <cell r="F56" t="str">
            <v>Workshop B</v>
          </cell>
        </row>
        <row r="57">
          <cell r="F57" t="str">
            <v>Workshop B</v>
          </cell>
        </row>
        <row r="58">
          <cell r="F58" t="str">
            <v>Workshop A</v>
          </cell>
        </row>
        <row r="59">
          <cell r="F59" t="str">
            <v>Workshop A</v>
          </cell>
        </row>
        <row r="60">
          <cell r="F60" t="str">
            <v>Workshop A</v>
          </cell>
        </row>
        <row r="61">
          <cell r="F61" t="str">
            <v>Workshop A</v>
          </cell>
        </row>
        <row r="62">
          <cell r="F62" t="str">
            <v>Workshop C</v>
          </cell>
        </row>
        <row r="63">
          <cell r="F63" t="str">
            <v>Workshop A</v>
          </cell>
        </row>
        <row r="64">
          <cell r="F64" t="str">
            <v>None</v>
          </cell>
        </row>
        <row r="65">
          <cell r="F65" t="str">
            <v>None</v>
          </cell>
        </row>
        <row r="66">
          <cell r="F66" t="str">
            <v>Workshop A</v>
          </cell>
        </row>
        <row r="67">
          <cell r="F67" t="str">
            <v>Workshop C</v>
          </cell>
        </row>
        <row r="68">
          <cell r="F68" t="str">
            <v>Workshop A</v>
          </cell>
        </row>
        <row r="69">
          <cell r="F69" t="str">
            <v>Workshop B</v>
          </cell>
        </row>
        <row r="70">
          <cell r="F70" t="str">
            <v>Workshop B</v>
          </cell>
        </row>
        <row r="71">
          <cell r="F71" t="str">
            <v>Workshop A</v>
          </cell>
        </row>
        <row r="72">
          <cell r="F72" t="str">
            <v>Workshop C</v>
          </cell>
        </row>
        <row r="73">
          <cell r="F73" t="str">
            <v>Workshop A</v>
          </cell>
        </row>
        <row r="74">
          <cell r="F74" t="str">
            <v>Workshop C</v>
          </cell>
        </row>
        <row r="75">
          <cell r="F75" t="str">
            <v>None</v>
          </cell>
        </row>
        <row r="76">
          <cell r="F76" t="str">
            <v>None</v>
          </cell>
        </row>
        <row r="77">
          <cell r="F77" t="str">
            <v>Workshop A</v>
          </cell>
        </row>
        <row r="78">
          <cell r="F78" t="str">
            <v>Workshop C</v>
          </cell>
        </row>
        <row r="79">
          <cell r="F79" t="str">
            <v>Workshop A</v>
          </cell>
        </row>
        <row r="80">
          <cell r="F80" t="str">
            <v>Workshop B</v>
          </cell>
        </row>
        <row r="81">
          <cell r="F81" t="str">
            <v>Workshop A</v>
          </cell>
        </row>
        <row r="82">
          <cell r="F82" t="str">
            <v>Workshop B</v>
          </cell>
        </row>
        <row r="83">
          <cell r="F83" t="str">
            <v>Workshop A</v>
          </cell>
        </row>
        <row r="84">
          <cell r="F84" t="str">
            <v>Workshop B</v>
          </cell>
        </row>
        <row r="85">
          <cell r="F85" t="str">
            <v>Workshop B</v>
          </cell>
        </row>
        <row r="86">
          <cell r="F86" t="str">
            <v>Workshop B</v>
          </cell>
        </row>
        <row r="87">
          <cell r="F87" t="str">
            <v>None</v>
          </cell>
        </row>
        <row r="88">
          <cell r="F88" t="str">
            <v>Workshop A</v>
          </cell>
        </row>
        <row r="89">
          <cell r="F89" t="str">
            <v>None</v>
          </cell>
        </row>
        <row r="90">
          <cell r="F90" t="str">
            <v>Workshop A</v>
          </cell>
        </row>
        <row r="91">
          <cell r="F91" t="str">
            <v>None</v>
          </cell>
        </row>
        <row r="92">
          <cell r="F92" t="str">
            <v>None</v>
          </cell>
        </row>
        <row r="93">
          <cell r="F93" t="str">
            <v>Workshop A</v>
          </cell>
        </row>
        <row r="94">
          <cell r="F94" t="str">
            <v>Workshop C</v>
          </cell>
        </row>
        <row r="95">
          <cell r="F95" t="str">
            <v>None</v>
          </cell>
        </row>
        <row r="96">
          <cell r="F96" t="str">
            <v>Workshop C</v>
          </cell>
        </row>
        <row r="97">
          <cell r="F97" t="str">
            <v>None</v>
          </cell>
        </row>
        <row r="98">
          <cell r="F98" t="str">
            <v>Workshop A</v>
          </cell>
        </row>
        <row r="99">
          <cell r="F99" t="str">
            <v>Workshop C</v>
          </cell>
        </row>
        <row r="100">
          <cell r="F100" t="str">
            <v>None</v>
          </cell>
        </row>
        <row r="101">
          <cell r="F101" t="str">
            <v>None</v>
          </cell>
        </row>
      </sheetData>
      <sheetData sheetId="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ng, Zoey" refreshedDate="45690.031378935186" createdVersion="8" refreshedVersion="8" minRefreshableVersion="3" recordCount="100" xr:uid="{E4305DA8-9D0C-40A8-B639-FFB3B246926B}">
  <cacheSource type="worksheet">
    <worksheetSource ref="A1:H101" sheet="Event_Data_Updated"/>
  </cacheSource>
  <cacheFields count="10">
    <cacheField name="ID" numFmtId="0">
      <sharedItems/>
    </cacheField>
    <cacheField name="Name" numFmtId="0">
      <sharedItems/>
    </cacheField>
    <cacheField name="Email" numFmtId="0">
      <sharedItems/>
    </cacheField>
    <cacheField name="Session Preference" numFmtId="0">
      <sharedItems count="3">
        <s v="Technology"/>
        <s v="Marketing"/>
        <s v="Leadership"/>
      </sharedItems>
    </cacheField>
    <cacheField name="Attendance Type" numFmtId="0">
      <sharedItems count="2">
        <s v="In-Person"/>
        <s v="Online"/>
      </sharedItems>
    </cacheField>
    <cacheField name="Ticket Price" numFmtId="164">
      <sharedItems containsSemiMixedTypes="0" containsString="0" containsNumber="1" minValue="956.58061767276774" maxValue="1195.7257720909597"/>
    </cacheField>
    <cacheField name="Dietary Preference" numFmtId="0">
      <sharedItems/>
    </cacheField>
    <cacheField name="Registration Date" numFmtId="165">
      <sharedItems containsSemiMixedTypes="0" containsNonDate="0" containsDate="1" containsString="0" minDate="2022-11-13T00:00:00" maxDate="2024-11-10T00:00:00" count="95">
        <d v="2023-03-14T00:00:00"/>
        <d v="2023-01-11T00:00:00"/>
        <d v="2024-02-27T00:00:00"/>
        <d v="2023-07-07T00:00:00"/>
        <d v="2023-02-25T00:00:00"/>
        <d v="2023-08-17T00:00:00"/>
        <d v="2024-02-08T00:00:00"/>
        <d v="2023-06-17T00:00:00"/>
        <d v="2024-06-27T00:00:00"/>
        <d v="2024-01-22T00:00:00"/>
        <d v="2023-02-18T00:00:00"/>
        <d v="2024-02-09T00:00:00"/>
        <d v="2024-06-23T00:00:00"/>
        <d v="2023-12-09T00:00:00"/>
        <d v="2023-09-30T00:00:00"/>
        <d v="2024-07-01T00:00:00"/>
        <d v="2024-05-04T00:00:00"/>
        <d v="2023-10-14T00:00:00"/>
        <d v="2023-04-20T00:00:00"/>
        <d v="2023-07-24T00:00:00"/>
        <d v="2022-12-31T00:00:00"/>
        <d v="2024-02-21T00:00:00"/>
        <d v="2023-04-24T00:00:00"/>
        <d v="2024-03-22T00:00:00"/>
        <d v="2024-04-28T00:00:00"/>
        <d v="2023-10-31T00:00:00"/>
        <d v="2023-10-16T00:00:00"/>
        <d v="2024-08-26T00:00:00"/>
        <d v="2024-08-29T00:00:00"/>
        <d v="2024-01-08T00:00:00"/>
        <d v="2023-11-30T00:00:00"/>
        <d v="2024-03-17T00:00:00"/>
        <d v="2024-07-03T00:00:00"/>
        <d v="2024-07-11T00:00:00"/>
        <d v="2023-05-25T00:00:00"/>
        <d v="2024-01-16T00:00:00"/>
        <d v="2024-10-25T00:00:00"/>
        <d v="2024-06-13T00:00:00"/>
        <d v="2024-10-01T00:00:00"/>
        <d v="2024-09-25T00:00:00"/>
        <d v="2023-02-05T00:00:00"/>
        <d v="2023-01-15T00:00:00"/>
        <d v="2024-02-16T00:00:00"/>
        <d v="2024-01-31T00:00:00"/>
        <d v="2024-10-28T00:00:00"/>
        <d v="2023-02-09T00:00:00"/>
        <d v="2024-08-09T00:00:00"/>
        <d v="2024-03-02T00:00:00"/>
        <d v="2024-03-24T00:00:00"/>
        <d v="2023-08-04T00:00:00"/>
        <d v="2024-08-02T00:00:00"/>
        <d v="2024-11-02T00:00:00"/>
        <d v="2024-08-30T00:00:00"/>
        <d v="2023-02-22T00:00:00"/>
        <d v="2023-04-10T00:00:00"/>
        <d v="2023-02-21T00:00:00"/>
        <d v="2023-07-06T00:00:00"/>
        <d v="2023-02-14T00:00:00"/>
        <d v="2024-05-25T00:00:00"/>
        <d v="2024-04-09T00:00:00"/>
        <d v="2024-08-14T00:00:00"/>
        <d v="2023-12-03T00:00:00"/>
        <d v="2023-07-26T00:00:00"/>
        <d v="2022-12-20T00:00:00"/>
        <d v="2023-04-25T00:00:00"/>
        <d v="2024-01-24T00:00:00"/>
        <d v="2024-02-28T00:00:00"/>
        <d v="2023-05-02T00:00:00"/>
        <d v="2024-02-23T00:00:00"/>
        <d v="2022-12-14T00:00:00"/>
        <d v="2024-06-18T00:00:00"/>
        <d v="2023-04-03T00:00:00"/>
        <d v="2024-11-09T00:00:00"/>
        <d v="2024-04-17T00:00:00"/>
        <d v="2023-05-26T00:00:00"/>
        <d v="2022-12-26T00:00:00"/>
        <d v="2023-02-19T00:00:00"/>
        <d v="2022-11-13T00:00:00"/>
        <d v="2024-08-22T00:00:00"/>
        <d v="2024-06-16T00:00:00"/>
        <d v="2024-10-23T00:00:00"/>
        <d v="2024-10-16T00:00:00"/>
        <d v="2023-04-12T00:00:00"/>
        <d v="2023-09-09T00:00:00"/>
        <d v="2024-06-28T00:00:00"/>
        <d v="2023-01-17T00:00:00"/>
        <d v="2023-11-03T00:00:00"/>
        <d v="2023-10-25T00:00:00"/>
        <d v="2024-10-06T00:00:00"/>
        <d v="2024-09-27T00:00:00"/>
        <d v="2023-07-31T00:00:00"/>
        <d v="2023-06-24T00:00:00"/>
        <d v="2023-09-11T00:00:00"/>
        <d v="2024-02-11T00:00:00"/>
        <d v="2024-05-13T00:00:00"/>
      </sharedItems>
      <fieldGroup par="9"/>
    </cacheField>
    <cacheField name="Years" numFmtId="0" databaseField="0">
      <fieldGroup base="7">
        <rangePr autoStart="0" autoEnd="0" groupBy="years" startDate="2022-11-13T00:00:00" endDate="2024-11-10T00:00:00"/>
        <groupItems count="5">
          <s v="&lt;13/11/2022"/>
          <s v="2022"/>
          <s v="2023"/>
          <s v="2024"/>
          <s v="&gt;10/11/2024"/>
        </groupItems>
      </fieldGroup>
    </cacheField>
    <cacheField name="Months" numFmtId="0" databaseField="0">
      <fieldGroup base="7">
        <rangePr autoStart="0" autoEnd="0" groupBy="months" startDate="2022-11-13T00:00:00" endDate="2024-11-10T00:00:00"/>
        <groupItems count="14">
          <s v="&lt;13/11/2022"/>
          <s v="Jan"/>
          <s v="Feb"/>
          <s v="Mar"/>
          <s v="Apr"/>
          <s v="May"/>
          <s v="Jun"/>
          <s v="Jul"/>
          <s v="Aug"/>
          <s v="Sep"/>
          <s v="Oct"/>
          <s v="Nov"/>
          <s v="Dec"/>
          <s v="&gt;10/11/2024"/>
        </groupItems>
      </fieldGroup>
    </cacheField>
  </cacheFields>
  <extLst>
    <ext xmlns:x14="http://schemas.microsoft.com/office/spreadsheetml/2009/9/main" uri="{725AE2AE-9491-48be-B2B4-4EB974FC3084}">
      <x14:pivotCacheDefinition pivotCacheId="20785531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A0001"/>
    <s v="Katherine Lewis"/>
    <s v="michaelcole@gmail.com"/>
    <x v="0"/>
    <x v="0"/>
    <n v="1195.7257720909597"/>
    <s v="Vegetarian"/>
    <x v="0"/>
  </r>
  <r>
    <s v="A0002"/>
    <s v="Joshua Stephens"/>
    <s v="erin02@robinson-moody.biz"/>
    <x v="1"/>
    <x v="0"/>
    <n v="956.58061767276774"/>
    <s v="Gluten-Free"/>
    <x v="1"/>
  </r>
  <r>
    <s v="A0003"/>
    <s v="Gabrielle Jennings"/>
    <s v="william93@yahoo.com"/>
    <x v="2"/>
    <x v="1"/>
    <n v="1195.7257720909597"/>
    <s v="Gluten-Free"/>
    <x v="2"/>
  </r>
  <r>
    <s v="A0004"/>
    <s v="Tina Carrillo"/>
    <s v="marygarcia@gutierrez-tyler.com"/>
    <x v="1"/>
    <x v="1"/>
    <n v="1116.010720618229"/>
    <s v="Gluten-Free"/>
    <x v="3"/>
  </r>
  <r>
    <s v="A0005"/>
    <s v="Bryan Hamilton"/>
    <s v="antonio90@yahoo.com"/>
    <x v="0"/>
    <x v="1"/>
    <n v="1076.1531948818638"/>
    <s v="Vegan"/>
    <x v="4"/>
  </r>
  <r>
    <s v="A0006"/>
    <s v="Tina Williams"/>
    <s v="bmoore@gmail.com"/>
    <x v="2"/>
    <x v="0"/>
    <n v="956.58061767276774"/>
    <s v="Gluten-Free"/>
    <x v="5"/>
  </r>
  <r>
    <s v="A0007"/>
    <s v="Rebecca Tate"/>
    <s v="millerfrank@gmail.com"/>
    <x v="2"/>
    <x v="1"/>
    <n v="956.58061767276774"/>
    <s v="Vegetarian"/>
    <x v="6"/>
  </r>
  <r>
    <s v="A0008"/>
    <s v="Curtis Ortiz"/>
    <s v="justinlopez@yahoo.com"/>
    <x v="2"/>
    <x v="0"/>
    <n v="1076.1531948818638"/>
    <s v="Non-Vegetarian"/>
    <x v="7"/>
  </r>
  <r>
    <s v="A0009"/>
    <s v="Christopher Burns"/>
    <s v="brianna75@hotmail.com"/>
    <x v="0"/>
    <x v="0"/>
    <n v="956.58061767276774"/>
    <s v="Vegetarian"/>
    <x v="8"/>
  </r>
  <r>
    <s v="A0010"/>
    <s v="Bethany Turner"/>
    <s v="johnbullock@hotmail.com"/>
    <x v="1"/>
    <x v="0"/>
    <n v="1116.010720618229"/>
    <s v="Non-Vegetarian"/>
    <x v="9"/>
  </r>
  <r>
    <s v="A0011"/>
    <s v="Kimberly Anderson"/>
    <s v="jenniferclark@yahoo.com"/>
    <x v="2"/>
    <x v="1"/>
    <n v="956.58061767276774"/>
    <s v="Vegan"/>
    <x v="10"/>
  </r>
  <r>
    <s v="A0012"/>
    <s v="Timothy Butler"/>
    <s v="ujennings@day.biz"/>
    <x v="2"/>
    <x v="1"/>
    <n v="1076.1531948818638"/>
    <s v="Vegetarian"/>
    <x v="11"/>
  </r>
  <r>
    <s v="A0013"/>
    <s v="Gloria Ryan"/>
    <s v="michelemyers@hall-coleman.com"/>
    <x v="0"/>
    <x v="1"/>
    <n v="956.58061767276774"/>
    <s v="Non-Vegetarian"/>
    <x v="12"/>
  </r>
  <r>
    <s v="A0014"/>
    <s v="Darin Hampton"/>
    <s v="bthornton@tran.com"/>
    <x v="2"/>
    <x v="1"/>
    <n v="1116.010720618229"/>
    <s v="Gluten-Free"/>
    <x v="5"/>
  </r>
  <r>
    <s v="A0015"/>
    <s v="Neil Lester"/>
    <s v="miguelkim@harrington.com"/>
    <x v="0"/>
    <x v="1"/>
    <n v="956.58061767276774"/>
    <s v="Gluten-Free"/>
    <x v="13"/>
  </r>
  <r>
    <s v="A0016"/>
    <s v="Barbara Dominguez"/>
    <s v="volson@jones-watts.com"/>
    <x v="1"/>
    <x v="1"/>
    <n v="1116.010720618229"/>
    <s v="Gluten-Free"/>
    <x v="14"/>
  </r>
  <r>
    <s v="A0017"/>
    <s v="David Williams"/>
    <s v="hollymeadows@davis-allison.net"/>
    <x v="0"/>
    <x v="0"/>
    <n v="1195.7257720909597"/>
    <s v="Non-Vegetarian"/>
    <x v="15"/>
  </r>
  <r>
    <s v="A0018"/>
    <s v="Nancy Lee"/>
    <s v="stephen94@hotmail.com"/>
    <x v="1"/>
    <x v="0"/>
    <n v="1116.010720618229"/>
    <s v="Vegetarian"/>
    <x v="16"/>
  </r>
  <r>
    <s v="A0019"/>
    <s v="Oscar Fowler"/>
    <s v="uhayden@yahoo.com"/>
    <x v="1"/>
    <x v="1"/>
    <n v="1195.7257720909597"/>
    <s v="Vegan"/>
    <x v="17"/>
  </r>
  <r>
    <s v="A0020"/>
    <s v="Amy Miller"/>
    <s v="susan21@yahoo.com"/>
    <x v="1"/>
    <x v="1"/>
    <n v="1116.010720618229"/>
    <s v="Vegetarian"/>
    <x v="18"/>
  </r>
  <r>
    <s v="A0021"/>
    <s v="Lydia Mcdonald"/>
    <s v="peggyfriedman@yahoo.com"/>
    <x v="1"/>
    <x v="0"/>
    <n v="1195.7257720909597"/>
    <s v="Non-Vegetarian"/>
    <x v="19"/>
  </r>
  <r>
    <s v="A0022"/>
    <s v="Emily Mcdonald"/>
    <s v="iwebb@mullins.com"/>
    <x v="1"/>
    <x v="0"/>
    <n v="1195.7257720909597"/>
    <s v="Vegan"/>
    <x v="20"/>
  </r>
  <r>
    <s v="A0023"/>
    <s v="Carolyn Graves"/>
    <s v="brookenavarro@hotmail.com"/>
    <x v="1"/>
    <x v="0"/>
    <n v="1195.7257720909597"/>
    <s v="Vegan"/>
    <x v="21"/>
  </r>
  <r>
    <s v="A0024"/>
    <s v="Linda White"/>
    <s v="nancy35@yahoo.com"/>
    <x v="1"/>
    <x v="1"/>
    <n v="1116.010720618229"/>
    <s v="Gluten-Free"/>
    <x v="22"/>
  </r>
  <r>
    <s v="A0025"/>
    <s v="Andrew Becker"/>
    <s v="jeffreyshepherd@yahoo.com"/>
    <x v="1"/>
    <x v="0"/>
    <n v="1116.010720618229"/>
    <s v="Vegan"/>
    <x v="9"/>
  </r>
  <r>
    <s v="A0026"/>
    <s v="Regina Zimmerman"/>
    <s v="martindarrell@todd.com"/>
    <x v="1"/>
    <x v="0"/>
    <n v="1076.1531948818638"/>
    <s v="Vegetarian"/>
    <x v="23"/>
  </r>
  <r>
    <s v="A0027"/>
    <s v="Meagan Wheeler"/>
    <s v="rsmith@schmidt.com"/>
    <x v="2"/>
    <x v="1"/>
    <n v="1195.7257720909597"/>
    <s v="Vegetarian"/>
    <x v="24"/>
  </r>
  <r>
    <s v="A0028"/>
    <s v="Lisa Green"/>
    <s v="anthony55@gmail.com"/>
    <x v="1"/>
    <x v="0"/>
    <n v="956.58061767276774"/>
    <s v="Vegetarian"/>
    <x v="25"/>
  </r>
  <r>
    <s v="A0029"/>
    <s v="Tammy Brown"/>
    <s v="brittany10@williams-smith.com"/>
    <x v="2"/>
    <x v="1"/>
    <n v="1195.7257720909597"/>
    <s v="Vegetarian"/>
    <x v="26"/>
  </r>
  <r>
    <s v="A0030"/>
    <s v="Debbie Bryant MD"/>
    <s v="kjohnson@yahoo.com"/>
    <x v="2"/>
    <x v="0"/>
    <n v="956.58061767276774"/>
    <s v="Gluten-Free"/>
    <x v="27"/>
  </r>
  <r>
    <s v="A0031"/>
    <s v="Felicia Parker"/>
    <s v="jeffreyrivera@watkins.com"/>
    <x v="0"/>
    <x v="1"/>
    <n v="1116.010720618229"/>
    <s v="Vegan"/>
    <x v="28"/>
  </r>
  <r>
    <s v="A0032"/>
    <s v="Raven Cruz"/>
    <s v="trevor71@gmail.com"/>
    <x v="2"/>
    <x v="0"/>
    <n v="1195.7257720909597"/>
    <s v="Non-Vegetarian"/>
    <x v="29"/>
  </r>
  <r>
    <s v="A0033"/>
    <s v="Bethany Evans"/>
    <s v="simsjoseph@yahoo.com"/>
    <x v="2"/>
    <x v="1"/>
    <n v="1076.1531948818638"/>
    <s v="Vegetarian"/>
    <x v="30"/>
  </r>
  <r>
    <s v="A0034"/>
    <s v="Jeremy Hogan"/>
    <s v="njohnson@gray.net"/>
    <x v="1"/>
    <x v="1"/>
    <n v="1195.7257720909597"/>
    <s v="Non-Vegetarian"/>
    <x v="31"/>
  </r>
  <r>
    <s v="A0035"/>
    <s v="Joan Foster"/>
    <s v="abrown@gmail.com"/>
    <x v="2"/>
    <x v="1"/>
    <n v="956.58061767276774"/>
    <s v="Gluten-Free"/>
    <x v="32"/>
  </r>
  <r>
    <s v="A0036"/>
    <s v="Isaac Deleon"/>
    <s v="michelleperry@day.com"/>
    <x v="0"/>
    <x v="0"/>
    <n v="1195.7257720909597"/>
    <s v="Vegan"/>
    <x v="33"/>
  </r>
  <r>
    <s v="A0037"/>
    <s v="Nathan Gonzales"/>
    <s v="isaiahbuckley@yahoo.com"/>
    <x v="2"/>
    <x v="1"/>
    <n v="956.58061767276774"/>
    <s v="Non-Vegetarian"/>
    <x v="34"/>
  </r>
  <r>
    <s v="A0038"/>
    <s v="Dawn Ruiz"/>
    <s v="ballcourtney@yahoo.com"/>
    <x v="1"/>
    <x v="0"/>
    <n v="1116.010720618229"/>
    <s v="Vegetarian"/>
    <x v="35"/>
  </r>
  <r>
    <s v="A0039"/>
    <s v="Sharon George"/>
    <s v="kristina80@nichols.com"/>
    <x v="0"/>
    <x v="1"/>
    <n v="1076.1531948818638"/>
    <s v="Non-Vegetarian"/>
    <x v="36"/>
  </r>
  <r>
    <s v="A0040"/>
    <s v="Sarah Pratt"/>
    <s v="srichards@gmail.com"/>
    <x v="1"/>
    <x v="0"/>
    <n v="1116.010720618229"/>
    <s v="Vegetarian"/>
    <x v="37"/>
  </r>
  <r>
    <s v="A0041"/>
    <s v="Carlos Patrick"/>
    <s v="devin54@carpenter.net"/>
    <x v="0"/>
    <x v="1"/>
    <n v="1195.7257720909597"/>
    <s v="Vegetarian"/>
    <x v="38"/>
  </r>
  <r>
    <s v="A0042"/>
    <s v="Kevin Morrison"/>
    <s v="daviseric@gmail.com"/>
    <x v="2"/>
    <x v="0"/>
    <n v="1116.010720618229"/>
    <s v="Vegetarian"/>
    <x v="39"/>
  </r>
  <r>
    <s v="A0043"/>
    <s v="Amber Vargas"/>
    <s v="mkeller@miller-evans.com"/>
    <x v="1"/>
    <x v="0"/>
    <n v="1195.7257720909597"/>
    <s v="Non-Vegetarian"/>
    <x v="40"/>
  </r>
  <r>
    <s v="A0044"/>
    <s v="Matthew Ayala"/>
    <s v="carla47@boyer.com"/>
    <x v="2"/>
    <x v="1"/>
    <n v="1116.010720618229"/>
    <s v="Non-Vegetarian"/>
    <x v="41"/>
  </r>
  <r>
    <s v="A0045"/>
    <s v="Dylan Bowen"/>
    <s v="crystal98@smith.net"/>
    <x v="2"/>
    <x v="0"/>
    <n v="1195.7257720909597"/>
    <s v="Gluten-Free"/>
    <x v="42"/>
  </r>
  <r>
    <s v="A0046"/>
    <s v="Scott Moore"/>
    <s v="paul42@gardner.biz"/>
    <x v="0"/>
    <x v="1"/>
    <n v="1195.7257720909597"/>
    <s v="Vegetarian"/>
    <x v="43"/>
  </r>
  <r>
    <s v="A0047"/>
    <s v="Richard Sawyer"/>
    <s v="stevenanderson@gmail.com"/>
    <x v="1"/>
    <x v="1"/>
    <n v="1195.7257720909597"/>
    <s v="Vegan"/>
    <x v="44"/>
  </r>
  <r>
    <s v="A0048"/>
    <s v="Nicole Norris"/>
    <s v="nmorris@yahoo.com"/>
    <x v="2"/>
    <x v="0"/>
    <n v="1195.7257720909597"/>
    <s v="Vegan"/>
    <x v="45"/>
  </r>
  <r>
    <s v="A0049"/>
    <s v="Patrick Farley"/>
    <s v="moyerduane@page.net"/>
    <x v="0"/>
    <x v="0"/>
    <n v="956.58061767276774"/>
    <s v="Vegetarian"/>
    <x v="46"/>
  </r>
  <r>
    <s v="A0050"/>
    <s v="Jacob Martinez"/>
    <s v="lindamckenzie@yahoo.com"/>
    <x v="2"/>
    <x v="0"/>
    <n v="1195.7257720909597"/>
    <s v="Vegan"/>
    <x v="43"/>
  </r>
  <r>
    <s v="A0051"/>
    <s v="Julie Santiago"/>
    <s v="jennifer57@wright.info"/>
    <x v="0"/>
    <x v="0"/>
    <n v="1076.1531948818638"/>
    <s v="Vegetarian"/>
    <x v="47"/>
  </r>
  <r>
    <s v="A0052"/>
    <s v="Rebecca Chapman"/>
    <s v="sydneyhall@yahoo.com"/>
    <x v="2"/>
    <x v="0"/>
    <n v="1116.010720618229"/>
    <s v="Gluten-Free"/>
    <x v="48"/>
  </r>
  <r>
    <s v="A0053"/>
    <s v="Sarah Day"/>
    <s v="antonio31@suarez.com"/>
    <x v="0"/>
    <x v="0"/>
    <n v="1195.7257720909597"/>
    <s v="Non-Vegetarian"/>
    <x v="49"/>
  </r>
  <r>
    <s v="A0054"/>
    <s v="Laura Mueller"/>
    <s v="webbmegan@murray.com"/>
    <x v="2"/>
    <x v="1"/>
    <n v="956.58061767276774"/>
    <s v="Vegetarian"/>
    <x v="50"/>
  </r>
  <r>
    <s v="A0055"/>
    <s v="Bradley Rodgers"/>
    <s v="jdunlap@gmail.com"/>
    <x v="1"/>
    <x v="0"/>
    <n v="1076.1531948818638"/>
    <s v="Non-Vegetarian"/>
    <x v="51"/>
  </r>
  <r>
    <s v="A0056"/>
    <s v="Tracy Frazier"/>
    <s v="michael45@yahoo.com"/>
    <x v="1"/>
    <x v="0"/>
    <n v="1076.1531948818638"/>
    <s v="Vegan"/>
    <x v="52"/>
  </r>
  <r>
    <s v="A0057"/>
    <s v="Michaela Mendoza"/>
    <s v="klinecarlos@gmail.com"/>
    <x v="1"/>
    <x v="0"/>
    <n v="1116.010720618229"/>
    <s v="Gluten-Free"/>
    <x v="53"/>
  </r>
  <r>
    <s v="A0058"/>
    <s v="Kim Williams"/>
    <s v="bradleymelissa@hotmail.com"/>
    <x v="1"/>
    <x v="0"/>
    <n v="1116.010720618229"/>
    <s v="Vegan"/>
    <x v="54"/>
  </r>
  <r>
    <s v="A0059"/>
    <s v="Dustin Bird"/>
    <s v="cantuscott@wilson.com"/>
    <x v="2"/>
    <x v="1"/>
    <n v="1116.010720618229"/>
    <s v="Non-Vegetarian"/>
    <x v="55"/>
  </r>
  <r>
    <s v="A0060"/>
    <s v="Jennifer Bell"/>
    <s v="eatonlauren@yahoo.com"/>
    <x v="0"/>
    <x v="0"/>
    <n v="1116.010720618229"/>
    <s v="Non-Vegetarian"/>
    <x v="56"/>
  </r>
  <r>
    <s v="A0061"/>
    <s v="Kayla Burns"/>
    <s v="anthony24@schmidt.biz"/>
    <x v="0"/>
    <x v="1"/>
    <n v="956.58061767276774"/>
    <s v="Vegetarian"/>
    <x v="57"/>
  </r>
  <r>
    <s v="A0062"/>
    <s v="Natasha Schmidt"/>
    <s v="mariopotts@burke.com"/>
    <x v="0"/>
    <x v="0"/>
    <n v="1116.010720618229"/>
    <s v="Gluten-Free"/>
    <x v="58"/>
  </r>
  <r>
    <s v="A0063"/>
    <s v="Kimberly Forbes"/>
    <s v="blakeandrews@yahoo.com"/>
    <x v="0"/>
    <x v="1"/>
    <n v="1195.7257720909597"/>
    <s v="Non-Vegetarian"/>
    <x v="59"/>
  </r>
  <r>
    <s v="A0064"/>
    <s v="Frank Stephens"/>
    <s v="amymalone@mayer-roberson.com"/>
    <x v="2"/>
    <x v="0"/>
    <n v="1195.7257720909597"/>
    <s v="Non-Vegetarian"/>
    <x v="60"/>
  </r>
  <r>
    <s v="A0065"/>
    <s v="James Heath"/>
    <s v="morganstacy@chavez.info"/>
    <x v="1"/>
    <x v="1"/>
    <n v="1116.010720618229"/>
    <s v="Non-Vegetarian"/>
    <x v="61"/>
  </r>
  <r>
    <s v="A0066"/>
    <s v="Cody Parker"/>
    <s v="xdeleon@reynolds-smith.com"/>
    <x v="2"/>
    <x v="1"/>
    <n v="956.58061767276774"/>
    <s v="Vegan"/>
    <x v="62"/>
  </r>
  <r>
    <s v="A0067"/>
    <s v="Bradley Griffin"/>
    <s v="john38@evans-johnson.com"/>
    <x v="0"/>
    <x v="1"/>
    <n v="1116.010720618229"/>
    <s v="Vegetarian"/>
    <x v="63"/>
  </r>
  <r>
    <s v="A0068"/>
    <s v="James Hood"/>
    <s v="mary24@espinoza.com"/>
    <x v="1"/>
    <x v="0"/>
    <n v="1076.1531948818638"/>
    <s v="Non-Vegetarian"/>
    <x v="47"/>
  </r>
  <r>
    <s v="A0069"/>
    <s v="Shannon Bradford"/>
    <s v="ewhite@gmail.com"/>
    <x v="1"/>
    <x v="0"/>
    <n v="1076.1531948818638"/>
    <s v="Gluten-Free"/>
    <x v="64"/>
  </r>
  <r>
    <s v="A0070"/>
    <s v="Kimberly Saunders"/>
    <s v="mpetty@wood.org"/>
    <x v="2"/>
    <x v="0"/>
    <n v="1116.010720618229"/>
    <s v="Vegan"/>
    <x v="65"/>
  </r>
  <r>
    <s v="A0071"/>
    <s v="Michelle Chavez"/>
    <s v="natalieclayton@contreras-reilly.org"/>
    <x v="2"/>
    <x v="0"/>
    <n v="956.58061767276774"/>
    <s v="Vegan"/>
    <x v="66"/>
  </r>
  <r>
    <s v="A0072"/>
    <s v="Laurie Scott"/>
    <s v="ashley48@roberts-osborne.com"/>
    <x v="1"/>
    <x v="0"/>
    <n v="1116.010720618229"/>
    <s v="Gluten-Free"/>
    <x v="67"/>
  </r>
  <r>
    <s v="A0073"/>
    <s v="Patrick Cox"/>
    <s v="grant63@gmail.com"/>
    <x v="0"/>
    <x v="0"/>
    <n v="956.58061767276774"/>
    <s v="Non-Vegetarian"/>
    <x v="68"/>
  </r>
  <r>
    <s v="A0074"/>
    <s v="Courtney Conner"/>
    <s v="matthewsjessica@stevens-baker.org"/>
    <x v="2"/>
    <x v="1"/>
    <n v="1195.7257720909597"/>
    <s v="Gluten-Free"/>
    <x v="69"/>
  </r>
  <r>
    <s v="A0075"/>
    <s v="Robert Roberts"/>
    <s v="milleralex@johnson.biz"/>
    <x v="0"/>
    <x v="0"/>
    <n v="1195.7257720909597"/>
    <s v="Vegetarian"/>
    <x v="70"/>
  </r>
  <r>
    <s v="A0076"/>
    <s v="Heather Rivera"/>
    <s v="stacy40@gmail.com"/>
    <x v="2"/>
    <x v="1"/>
    <n v="1116.010720618229"/>
    <s v="Vegan"/>
    <x v="71"/>
  </r>
  <r>
    <s v="A0077"/>
    <s v="Nicholas Moran"/>
    <s v="morgan12@yahoo.com"/>
    <x v="0"/>
    <x v="1"/>
    <n v="956.58061767276774"/>
    <s v="Gluten-Free"/>
    <x v="72"/>
  </r>
  <r>
    <s v="A0078"/>
    <s v="Timothy Cook"/>
    <s v="livingstonrichard@yahoo.com"/>
    <x v="2"/>
    <x v="0"/>
    <n v="1116.010720618229"/>
    <s v="Vegan"/>
    <x v="73"/>
  </r>
  <r>
    <s v="A0079"/>
    <s v="Robert Parks"/>
    <s v="sreynolds@anderson.com"/>
    <x v="0"/>
    <x v="1"/>
    <n v="1076.1531948818638"/>
    <s v="Non-Vegetarian"/>
    <x v="74"/>
  </r>
  <r>
    <s v="A0080"/>
    <s v="Edward Barker"/>
    <s v="courtney57@gmail.com"/>
    <x v="2"/>
    <x v="0"/>
    <n v="1116.010720618229"/>
    <s v="Non-Vegetarian"/>
    <x v="75"/>
  </r>
  <r>
    <s v="A0081"/>
    <s v="William Pierce"/>
    <s v="hoffmancraig@mckenzie.com"/>
    <x v="2"/>
    <x v="0"/>
    <n v="1076.1531948818638"/>
    <s v="Vegetarian"/>
    <x v="76"/>
  </r>
  <r>
    <s v="A0082"/>
    <s v="Judith Miller"/>
    <s v="zacharyroy@gmail.com"/>
    <x v="2"/>
    <x v="0"/>
    <n v="1116.010720618229"/>
    <s v="Vegetarian"/>
    <x v="77"/>
  </r>
  <r>
    <s v="A0083"/>
    <s v="Alan Liu"/>
    <s v="wrangel@hotmail.com"/>
    <x v="1"/>
    <x v="0"/>
    <n v="1076.1531948818638"/>
    <s v="Vegetarian"/>
    <x v="78"/>
  </r>
  <r>
    <s v="A0084"/>
    <s v="James Villarreal"/>
    <s v="henry03@obrien.net"/>
    <x v="1"/>
    <x v="1"/>
    <n v="1076.1531948818638"/>
    <s v="Non-Vegetarian"/>
    <x v="79"/>
  </r>
  <r>
    <s v="A0085"/>
    <s v="Christopher Boyer"/>
    <s v="michaelunderwood@gmail.com"/>
    <x v="0"/>
    <x v="0"/>
    <n v="1076.1531948818638"/>
    <s v="Vegan"/>
    <x v="80"/>
  </r>
  <r>
    <s v="A0086"/>
    <s v="Colin Kramer"/>
    <s v="shawnoconnor@hotmail.com"/>
    <x v="1"/>
    <x v="1"/>
    <n v="1195.7257720909597"/>
    <s v="Non-Vegetarian"/>
    <x v="81"/>
  </r>
  <r>
    <s v="A0087"/>
    <s v="Jacob Benton"/>
    <s v="nathan01@costa-thomas.info"/>
    <x v="1"/>
    <x v="0"/>
    <n v="1116.010720618229"/>
    <s v="Non-Vegetarian"/>
    <x v="82"/>
  </r>
  <r>
    <s v="A0088"/>
    <s v="Elizabeth Orozco"/>
    <s v="pamelagonzalez@rodriguez.com"/>
    <x v="2"/>
    <x v="0"/>
    <n v="1195.7257720909597"/>
    <s v="Gluten-Free"/>
    <x v="83"/>
  </r>
  <r>
    <s v="A0089"/>
    <s v="Christopher Potts"/>
    <s v="cynthia21@foley.com"/>
    <x v="2"/>
    <x v="0"/>
    <n v="1116.010720618229"/>
    <s v="Vegetarian"/>
    <x v="84"/>
  </r>
  <r>
    <s v="A0090"/>
    <s v="Rodney Jones"/>
    <s v="vaughncaleb@yahoo.com"/>
    <x v="1"/>
    <x v="1"/>
    <n v="1195.7257720909597"/>
    <s v="Vegetarian"/>
    <x v="85"/>
  </r>
  <r>
    <s v="A0091"/>
    <s v="Carlos Ray"/>
    <s v="matthewhayes@gibson-tucker.org"/>
    <x v="1"/>
    <x v="0"/>
    <n v="1195.7257720909597"/>
    <s v="Non-Vegetarian"/>
    <x v="86"/>
  </r>
  <r>
    <s v="A0092"/>
    <s v="Veronica Wall"/>
    <s v="riggsjeffrey@jackson.com"/>
    <x v="0"/>
    <x v="0"/>
    <n v="1116.010720618229"/>
    <s v="Vegan"/>
    <x v="87"/>
  </r>
  <r>
    <s v="A0093"/>
    <s v="Susan Johnson"/>
    <s v="larryewing@hotmail.com"/>
    <x v="0"/>
    <x v="0"/>
    <n v="956.58061767276774"/>
    <s v="Vegan"/>
    <x v="88"/>
  </r>
  <r>
    <s v="A0094"/>
    <s v="Sarah Lewis"/>
    <s v="williamramos@wood.com"/>
    <x v="1"/>
    <x v="0"/>
    <n v="1195.7257720909597"/>
    <s v="Gluten-Free"/>
    <x v="66"/>
  </r>
  <r>
    <s v="A0095"/>
    <s v="Mark Patterson"/>
    <s v="davenportrobert@johnson.biz"/>
    <x v="1"/>
    <x v="1"/>
    <n v="956.58061767276774"/>
    <s v="Non-Vegetarian"/>
    <x v="89"/>
  </r>
  <r>
    <s v="A0096"/>
    <s v="Stephanie Davis"/>
    <s v="james41@jackson.com"/>
    <x v="2"/>
    <x v="0"/>
    <n v="1195.7257720909597"/>
    <s v="Non-Vegetarian"/>
    <x v="90"/>
  </r>
  <r>
    <s v="A0097"/>
    <s v="Julia Brown"/>
    <s v="gonzalesjames@gmail.com"/>
    <x v="0"/>
    <x v="1"/>
    <n v="1116.010720618229"/>
    <s v="Gluten-Free"/>
    <x v="91"/>
  </r>
  <r>
    <s v="A0098"/>
    <s v="James Kane"/>
    <s v="deanmolly@hall.com"/>
    <x v="0"/>
    <x v="0"/>
    <n v="956.58061767276774"/>
    <s v="Vegetarian"/>
    <x v="92"/>
  </r>
  <r>
    <s v="A0099"/>
    <s v="Melissa Parker"/>
    <s v="nicoleflores@davis-hernandez.com"/>
    <x v="2"/>
    <x v="0"/>
    <n v="1195.7257720909597"/>
    <s v="Vegetarian"/>
    <x v="93"/>
  </r>
  <r>
    <s v="A0100"/>
    <s v="Emily Williams"/>
    <s v="hpotts@yahoo.com"/>
    <x v="1"/>
    <x v="0"/>
    <n v="1195.7257720909597"/>
    <s v="Vegetarian"/>
    <x v="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72AB6B8-6A48-46D8-9CB8-EDAF047616B9}"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C14:C15" firstHeaderRow="1" firstDataRow="1" firstDataCol="0"/>
  <pivotFields count="10">
    <pivotField showAll="0"/>
    <pivotField showAll="0"/>
    <pivotField showAll="0"/>
    <pivotField showAll="0"/>
    <pivotField showAll="0"/>
    <pivotField dataField="1" numFmtId="164" showAll="0"/>
    <pivotField showAll="0"/>
    <pivotField numFmtId="165" showAll="0">
      <items count="96">
        <item x="77"/>
        <item x="69"/>
        <item x="63"/>
        <item x="75"/>
        <item x="20"/>
        <item x="1"/>
        <item x="41"/>
        <item x="85"/>
        <item x="40"/>
        <item x="45"/>
        <item x="57"/>
        <item x="10"/>
        <item x="76"/>
        <item x="55"/>
        <item x="53"/>
        <item x="4"/>
        <item x="0"/>
        <item x="71"/>
        <item x="54"/>
        <item x="82"/>
        <item x="18"/>
        <item x="22"/>
        <item x="64"/>
        <item x="67"/>
        <item x="34"/>
        <item x="74"/>
        <item x="7"/>
        <item x="91"/>
        <item x="56"/>
        <item x="3"/>
        <item x="19"/>
        <item x="62"/>
        <item x="90"/>
        <item x="49"/>
        <item x="5"/>
        <item x="83"/>
        <item x="92"/>
        <item x="14"/>
        <item x="17"/>
        <item x="26"/>
        <item x="87"/>
        <item x="25"/>
        <item x="86"/>
        <item x="30"/>
        <item x="61"/>
        <item x="13"/>
        <item x="29"/>
        <item x="35"/>
        <item x="9"/>
        <item x="65"/>
        <item x="43"/>
        <item x="6"/>
        <item x="11"/>
        <item x="93"/>
        <item x="42"/>
        <item x="21"/>
        <item x="68"/>
        <item x="2"/>
        <item x="66"/>
        <item x="47"/>
        <item x="31"/>
        <item x="23"/>
        <item x="48"/>
        <item x="59"/>
        <item x="73"/>
        <item x="24"/>
        <item x="16"/>
        <item x="94"/>
        <item x="58"/>
        <item x="37"/>
        <item x="79"/>
        <item x="70"/>
        <item x="12"/>
        <item x="8"/>
        <item x="84"/>
        <item x="15"/>
        <item x="32"/>
        <item x="33"/>
        <item x="50"/>
        <item x="46"/>
        <item x="60"/>
        <item x="78"/>
        <item x="27"/>
        <item x="28"/>
        <item x="52"/>
        <item x="39"/>
        <item x="89"/>
        <item x="38"/>
        <item x="88"/>
        <item x="81"/>
        <item x="80"/>
        <item x="36"/>
        <item x="44"/>
        <item x="51"/>
        <item x="72"/>
        <item t="default"/>
      </items>
    </pivotField>
    <pivotField showAll="0" defaultSubtotal="0"/>
    <pivotField showAll="0" defaultSubtotal="0">
      <items count="14">
        <item x="0"/>
        <item x="1"/>
        <item x="2"/>
        <item x="3"/>
        <item x="4"/>
        <item x="5"/>
        <item x="6"/>
        <item x="7"/>
        <item x="8"/>
        <item x="9"/>
        <item x="10"/>
        <item x="11"/>
        <item x="12"/>
        <item x="13"/>
      </items>
    </pivotField>
  </pivotFields>
  <rowItems count="1">
    <i/>
  </rowItems>
  <colItems count="1">
    <i/>
  </colItems>
  <dataFields count="1">
    <dataField name="Total Ticket Sales" fld="5" baseField="0" baseItem="0" numFmtId="166"/>
  </dataFields>
  <formats count="5">
    <format dxfId="3">
      <pivotArea dataOnly="0" labelOnly="1" outline="0" axis="axisValues" fieldPosition="0"/>
    </format>
    <format dxfId="4">
      <pivotArea dataOnly="0" labelOnly="1" outline="0" axis="axisValues" fieldPosition="0"/>
    </format>
    <format dxfId="5">
      <pivotArea outline="0" collapsedLevelsAreSubtotals="1" fieldPosition="0"/>
    </format>
    <format dxfId="6">
      <pivotArea outline="0" collapsedLevelsAreSubtotals="1" fieldPosition="0"/>
    </format>
    <format dxfId="7">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2616E6-88EF-4BCB-A996-1D05A1431EC7}"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E14:E15" firstHeaderRow="1" firstDataRow="1" firstDataCol="0"/>
  <pivotFields count="10">
    <pivotField dataField="1" showAll="0"/>
    <pivotField showAll="0"/>
    <pivotField showAll="0"/>
    <pivotField showAll="0"/>
    <pivotField showAll="0"/>
    <pivotField numFmtId="164" showAll="0"/>
    <pivotField showAll="0"/>
    <pivotField numFmtId="165" showAll="0">
      <items count="96">
        <item x="77"/>
        <item x="69"/>
        <item x="63"/>
        <item x="75"/>
        <item x="20"/>
        <item x="1"/>
        <item x="41"/>
        <item x="85"/>
        <item x="40"/>
        <item x="45"/>
        <item x="57"/>
        <item x="10"/>
        <item x="76"/>
        <item x="55"/>
        <item x="53"/>
        <item x="4"/>
        <item x="0"/>
        <item x="71"/>
        <item x="54"/>
        <item x="82"/>
        <item x="18"/>
        <item x="22"/>
        <item x="64"/>
        <item x="67"/>
        <item x="34"/>
        <item x="74"/>
        <item x="7"/>
        <item x="91"/>
        <item x="56"/>
        <item x="3"/>
        <item x="19"/>
        <item x="62"/>
        <item x="90"/>
        <item x="49"/>
        <item x="5"/>
        <item x="83"/>
        <item x="92"/>
        <item x="14"/>
        <item x="17"/>
        <item x="26"/>
        <item x="87"/>
        <item x="25"/>
        <item x="86"/>
        <item x="30"/>
        <item x="61"/>
        <item x="13"/>
        <item x="29"/>
        <item x="35"/>
        <item x="9"/>
        <item x="65"/>
        <item x="43"/>
        <item x="6"/>
        <item x="11"/>
        <item x="93"/>
        <item x="42"/>
        <item x="21"/>
        <item x="68"/>
        <item x="2"/>
        <item x="66"/>
        <item x="47"/>
        <item x="31"/>
        <item x="23"/>
        <item x="48"/>
        <item x="59"/>
        <item x="73"/>
        <item x="24"/>
        <item x="16"/>
        <item x="94"/>
        <item x="58"/>
        <item x="37"/>
        <item x="79"/>
        <item x="70"/>
        <item x="12"/>
        <item x="8"/>
        <item x="84"/>
        <item x="15"/>
        <item x="32"/>
        <item x="33"/>
        <item x="50"/>
        <item x="46"/>
        <item x="60"/>
        <item x="78"/>
        <item x="27"/>
        <item x="28"/>
        <item x="52"/>
        <item x="39"/>
        <item x="89"/>
        <item x="38"/>
        <item x="88"/>
        <item x="81"/>
        <item x="80"/>
        <item x="36"/>
        <item x="44"/>
        <item x="51"/>
        <item x="72"/>
        <item t="default"/>
      </items>
    </pivotField>
    <pivotField showAll="0" defaultSubtotal="0"/>
    <pivotField showAll="0" defaultSubtotal="0">
      <items count="14">
        <item x="0"/>
        <item x="1"/>
        <item x="2"/>
        <item x="3"/>
        <item x="4"/>
        <item x="5"/>
        <item x="6"/>
        <item x="7"/>
        <item x="8"/>
        <item x="9"/>
        <item x="10"/>
        <item x="11"/>
        <item x="12"/>
        <item x="13"/>
      </items>
    </pivotField>
  </pivotFields>
  <rowItems count="1">
    <i/>
  </rowItems>
  <colItems count="1">
    <i/>
  </colItems>
  <dataFields count="1">
    <dataField name="Total Registration" fld="0" subtotal="count" baseField="0" baseItem="0"/>
  </dataFields>
  <formats count="4">
    <format dxfId="8">
      <pivotArea dataOnly="0" labelOnly="1" outline="0" axis="axisValues" fieldPosition="0"/>
    </format>
    <format dxfId="9">
      <pivotArea dataOnly="0" labelOnly="1" outline="0" axis="axisValues" fieldPosition="0"/>
    </format>
    <format dxfId="10">
      <pivotArea outline="0" collapsedLevelsAreSubtotals="1" fieldPosition="0"/>
    </format>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4458790-2856-485A-B794-F123E1F350B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C47:D50" firstHeaderRow="1" firstDataRow="1" firstDataCol="1"/>
  <pivotFields count="10">
    <pivotField dataField="1" showAll="0"/>
    <pivotField showAll="0"/>
    <pivotField showAll="0"/>
    <pivotField showAll="0">
      <items count="4">
        <item x="2"/>
        <item x="1"/>
        <item x="0"/>
        <item t="default"/>
      </items>
    </pivotField>
    <pivotField axis="axisRow" showAll="0">
      <items count="3">
        <item x="0"/>
        <item x="1"/>
        <item t="default"/>
      </items>
    </pivotField>
    <pivotField numFmtId="164" showAll="0"/>
    <pivotField showAll="0"/>
    <pivotField numFmtId="165" showAll="0">
      <items count="96">
        <item x="77"/>
        <item x="69"/>
        <item x="63"/>
        <item x="75"/>
        <item x="20"/>
        <item x="1"/>
        <item x="41"/>
        <item x="85"/>
        <item x="40"/>
        <item x="45"/>
        <item x="57"/>
        <item x="10"/>
        <item x="76"/>
        <item x="55"/>
        <item x="53"/>
        <item x="4"/>
        <item x="0"/>
        <item x="71"/>
        <item x="54"/>
        <item x="82"/>
        <item x="18"/>
        <item x="22"/>
        <item x="64"/>
        <item x="67"/>
        <item x="34"/>
        <item x="74"/>
        <item x="7"/>
        <item x="91"/>
        <item x="56"/>
        <item x="3"/>
        <item x="19"/>
        <item x="62"/>
        <item x="90"/>
        <item x="49"/>
        <item x="5"/>
        <item x="83"/>
        <item x="92"/>
        <item x="14"/>
        <item x="17"/>
        <item x="26"/>
        <item x="87"/>
        <item x="25"/>
        <item x="86"/>
        <item x="30"/>
        <item x="61"/>
        <item x="13"/>
        <item x="29"/>
        <item x="35"/>
        <item x="9"/>
        <item x="65"/>
        <item x="43"/>
        <item x="6"/>
        <item x="11"/>
        <item x="93"/>
        <item x="42"/>
        <item x="21"/>
        <item x="68"/>
        <item x="2"/>
        <item x="66"/>
        <item x="47"/>
        <item x="31"/>
        <item x="23"/>
        <item x="48"/>
        <item x="59"/>
        <item x="73"/>
        <item x="24"/>
        <item x="16"/>
        <item x="94"/>
        <item x="58"/>
        <item x="37"/>
        <item x="79"/>
        <item x="70"/>
        <item x="12"/>
        <item x="8"/>
        <item x="84"/>
        <item x="15"/>
        <item x="32"/>
        <item x="33"/>
        <item x="50"/>
        <item x="46"/>
        <item x="60"/>
        <item x="78"/>
        <item x="27"/>
        <item x="28"/>
        <item x="52"/>
        <item x="39"/>
        <item x="89"/>
        <item x="38"/>
        <item x="88"/>
        <item x="81"/>
        <item x="80"/>
        <item x="36"/>
        <item x="44"/>
        <item x="51"/>
        <item x="72"/>
        <item t="default"/>
      </items>
    </pivotField>
    <pivotField showAll="0" defaultSubtotal="0"/>
    <pivotField showAll="0" defaultSubtotal="0">
      <items count="14">
        <item x="0"/>
        <item x="1"/>
        <item x="2"/>
        <item x="3"/>
        <item x="4"/>
        <item x="5"/>
        <item x="6"/>
        <item x="7"/>
        <item x="8"/>
        <item x="9"/>
        <item x="10"/>
        <item x="11"/>
        <item x="12"/>
        <item x="13"/>
      </items>
    </pivotField>
  </pivotFields>
  <rowFields count="1">
    <field x="4"/>
  </rowFields>
  <rowItems count="3">
    <i>
      <x/>
    </i>
    <i>
      <x v="1"/>
    </i>
    <i t="grand">
      <x/>
    </i>
  </rowItems>
  <colItems count="1">
    <i/>
  </colItems>
  <dataFields count="1">
    <dataField name="Count of ID"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1B86954-5E32-4EA0-964F-CB860FCAF812}" name="PivotTable1"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23">
  <location ref="C4:F33" firstHeaderRow="0" firstDataRow="1" firstDataCol="2"/>
  <pivotFields count="10">
    <pivotField dataField="1" compact="0" outline="0" showAll="0"/>
    <pivotField compact="0" outline="0" showAll="0"/>
    <pivotField compact="0" outline="0" showAll="0"/>
    <pivotField compact="0" outline="0" showAll="0">
      <items count="4">
        <item x="2"/>
        <item x="1"/>
        <item x="0"/>
        <item t="default"/>
      </items>
    </pivotField>
    <pivotField compact="0" outline="0" showAll="0"/>
    <pivotField dataField="1" compact="0" numFmtId="164" outline="0" showAll="0"/>
    <pivotField compact="0" outline="0" showAll="0"/>
    <pivotField compact="0" numFmtId="165" outline="0" showAll="0">
      <items count="96">
        <item x="77"/>
        <item x="69"/>
        <item x="63"/>
        <item x="75"/>
        <item x="20"/>
        <item x="1"/>
        <item x="41"/>
        <item x="85"/>
        <item x="40"/>
        <item x="45"/>
        <item x="57"/>
        <item x="10"/>
        <item x="76"/>
        <item x="55"/>
        <item x="53"/>
        <item x="4"/>
        <item x="0"/>
        <item x="71"/>
        <item x="54"/>
        <item x="82"/>
        <item x="18"/>
        <item x="22"/>
        <item x="64"/>
        <item x="67"/>
        <item x="34"/>
        <item x="74"/>
        <item x="7"/>
        <item x="91"/>
        <item x="56"/>
        <item x="3"/>
        <item x="19"/>
        <item x="62"/>
        <item x="90"/>
        <item x="49"/>
        <item x="5"/>
        <item x="83"/>
        <item x="92"/>
        <item x="14"/>
        <item x="17"/>
        <item x="26"/>
        <item x="87"/>
        <item x="25"/>
        <item x="86"/>
        <item x="30"/>
        <item x="61"/>
        <item x="13"/>
        <item x="29"/>
        <item x="35"/>
        <item x="9"/>
        <item x="65"/>
        <item x="43"/>
        <item x="6"/>
        <item x="11"/>
        <item x="93"/>
        <item x="42"/>
        <item x="21"/>
        <item x="68"/>
        <item x="2"/>
        <item x="66"/>
        <item x="47"/>
        <item x="31"/>
        <item x="23"/>
        <item x="48"/>
        <item x="59"/>
        <item x="73"/>
        <item x="24"/>
        <item x="16"/>
        <item x="94"/>
        <item x="58"/>
        <item x="37"/>
        <item x="79"/>
        <item x="70"/>
        <item x="12"/>
        <item x="8"/>
        <item x="84"/>
        <item x="15"/>
        <item x="32"/>
        <item x="33"/>
        <item x="50"/>
        <item x="46"/>
        <item x="60"/>
        <item x="78"/>
        <item x="27"/>
        <item x="28"/>
        <item x="52"/>
        <item x="39"/>
        <item x="89"/>
        <item x="38"/>
        <item x="88"/>
        <item x="81"/>
        <item x="80"/>
        <item x="36"/>
        <item x="44"/>
        <item x="51"/>
        <item x="72"/>
        <item t="default"/>
      </items>
    </pivotField>
    <pivotField axis="axisRow" compact="0" outline="0" showAll="0" sortType="ascending">
      <items count="6">
        <item x="0"/>
        <item x="4"/>
        <item x="1"/>
        <item x="2"/>
        <item x="3"/>
        <item t="default"/>
      </items>
    </pivotField>
    <pivotField axis="axisRow" compact="0" outline="0" showAll="0" sortType="ascending">
      <items count="15">
        <item x="1"/>
        <item x="2"/>
        <item x="3"/>
        <item x="4"/>
        <item x="5"/>
        <item x="6"/>
        <item x="7"/>
        <item x="8"/>
        <item x="9"/>
        <item x="10"/>
        <item x="11"/>
        <item x="12"/>
        <item x="0"/>
        <item x="13"/>
        <item t="default"/>
      </items>
    </pivotField>
  </pivotFields>
  <rowFields count="2">
    <field x="8"/>
    <field x="9"/>
  </rowFields>
  <rowItems count="29">
    <i>
      <x v="2"/>
      <x v="10"/>
    </i>
    <i r="1">
      <x v="11"/>
    </i>
    <i t="default">
      <x v="2"/>
    </i>
    <i>
      <x v="3"/>
      <x/>
    </i>
    <i r="1">
      <x v="1"/>
    </i>
    <i r="1">
      <x v="2"/>
    </i>
    <i r="1">
      <x v="3"/>
    </i>
    <i r="1">
      <x v="4"/>
    </i>
    <i r="1">
      <x v="5"/>
    </i>
    <i r="1">
      <x v="6"/>
    </i>
    <i r="1">
      <x v="7"/>
    </i>
    <i r="1">
      <x v="8"/>
    </i>
    <i r="1">
      <x v="9"/>
    </i>
    <i r="1">
      <x v="10"/>
    </i>
    <i r="1">
      <x v="11"/>
    </i>
    <i t="default">
      <x v="3"/>
    </i>
    <i>
      <x v="4"/>
      <x/>
    </i>
    <i r="1">
      <x v="1"/>
    </i>
    <i r="1">
      <x v="2"/>
    </i>
    <i r="1">
      <x v="3"/>
    </i>
    <i r="1">
      <x v="4"/>
    </i>
    <i r="1">
      <x v="5"/>
    </i>
    <i r="1">
      <x v="6"/>
    </i>
    <i r="1">
      <x v="7"/>
    </i>
    <i r="1">
      <x v="8"/>
    </i>
    <i r="1">
      <x v="9"/>
    </i>
    <i r="1">
      <x v="10"/>
    </i>
    <i t="default">
      <x v="4"/>
    </i>
    <i t="grand">
      <x/>
    </i>
  </rowItems>
  <colFields count="1">
    <field x="-2"/>
  </colFields>
  <colItems count="2">
    <i>
      <x/>
    </i>
    <i i="1">
      <x v="1"/>
    </i>
  </colItems>
  <dataFields count="2">
    <dataField name="Count of ID" fld="0" subtotal="count" baseField="0" baseItem="0"/>
    <dataField name="Sum of Ticket Price" fld="5" baseField="0" baseItem="0" numFmtId="164"/>
  </dataFields>
  <chartFormats count="2">
    <chartFormat chart="22" format="2" series="1">
      <pivotArea type="data" outline="0" fieldPosition="0">
        <references count="1">
          <reference field="4294967294" count="1" selected="0">
            <x v="1"/>
          </reference>
        </references>
      </pivotArea>
    </chartFormat>
    <chartFormat chart="2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A454171-509B-4AA8-8C10-5B17BEAAC465}"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C37:D41" firstHeaderRow="1" firstDataRow="1" firstDataCol="1"/>
  <pivotFields count="10">
    <pivotField showAll="0"/>
    <pivotField showAll="0"/>
    <pivotField showAll="0"/>
    <pivotField axis="axisRow" showAll="0">
      <items count="4">
        <item x="2"/>
        <item x="1"/>
        <item x="0"/>
        <item t="default"/>
      </items>
    </pivotField>
    <pivotField showAll="0"/>
    <pivotField dataField="1" numFmtId="164" showAll="0"/>
    <pivotField showAll="0"/>
    <pivotField numFmtId="165" showAll="0">
      <items count="96">
        <item x="77"/>
        <item x="69"/>
        <item x="63"/>
        <item x="75"/>
        <item x="20"/>
        <item x="1"/>
        <item x="41"/>
        <item x="85"/>
        <item x="40"/>
        <item x="45"/>
        <item x="57"/>
        <item x="10"/>
        <item x="76"/>
        <item x="55"/>
        <item x="53"/>
        <item x="4"/>
        <item x="0"/>
        <item x="71"/>
        <item x="54"/>
        <item x="82"/>
        <item x="18"/>
        <item x="22"/>
        <item x="64"/>
        <item x="67"/>
        <item x="34"/>
        <item x="74"/>
        <item x="7"/>
        <item x="91"/>
        <item x="56"/>
        <item x="3"/>
        <item x="19"/>
        <item x="62"/>
        <item x="90"/>
        <item x="49"/>
        <item x="5"/>
        <item x="83"/>
        <item x="92"/>
        <item x="14"/>
        <item x="17"/>
        <item x="26"/>
        <item x="87"/>
        <item x="25"/>
        <item x="86"/>
        <item x="30"/>
        <item x="61"/>
        <item x="13"/>
        <item x="29"/>
        <item x="35"/>
        <item x="9"/>
        <item x="65"/>
        <item x="43"/>
        <item x="6"/>
        <item x="11"/>
        <item x="93"/>
        <item x="42"/>
        <item x="21"/>
        <item x="68"/>
        <item x="2"/>
        <item x="66"/>
        <item x="47"/>
        <item x="31"/>
        <item x="23"/>
        <item x="48"/>
        <item x="59"/>
        <item x="73"/>
        <item x="24"/>
        <item x="16"/>
        <item x="94"/>
        <item x="58"/>
        <item x="37"/>
        <item x="79"/>
        <item x="70"/>
        <item x="12"/>
        <item x="8"/>
        <item x="84"/>
        <item x="15"/>
        <item x="32"/>
        <item x="33"/>
        <item x="50"/>
        <item x="46"/>
        <item x="60"/>
        <item x="78"/>
        <item x="27"/>
        <item x="28"/>
        <item x="52"/>
        <item x="39"/>
        <item x="89"/>
        <item x="38"/>
        <item x="88"/>
        <item x="81"/>
        <item x="80"/>
        <item x="36"/>
        <item x="44"/>
        <item x="51"/>
        <item x="72"/>
        <item t="default"/>
      </items>
    </pivotField>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4">
    <i>
      <x/>
    </i>
    <i>
      <x v="1"/>
    </i>
    <i>
      <x v="2"/>
    </i>
    <i t="grand">
      <x/>
    </i>
  </rowItems>
  <colItems count="1">
    <i/>
  </colItems>
  <dataFields count="1">
    <dataField name="Sum of Ticket Price" fld="5"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ssion_Preference" xr10:uid="{F624F1E9-0429-4157-8324-A9091FC2BE42}" sourceName="Session Preference">
  <data>
    <tabular pivotCacheId="2078553194">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ssion Preference" xr10:uid="{0FD43DED-E49B-406B-9B64-864AF6EE519F}" cache="Slicer_Session_Preference" caption="Session Preferenc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807D7C-AEA7-4244-B1AD-5A119A5819E4}" name="Table3" displayName="Table3" ref="A1:F39" totalsRowShown="0">
  <autoFilter ref="A1:F39" xr:uid="{06BA0AB2-0B9F-4EDC-A1DD-A4197C859EBE}"/>
  <tableColumns count="6">
    <tableColumn id="1" xr3:uid="{B67A51F0-1BA7-404A-801D-776BAA84453A}" name="Source Data for Projections" dataDxfId="2"/>
    <tableColumn id="2" xr3:uid="{091CEF79-E6FD-4156-84C5-93BE2CA952D2}" name="# of Registrations"/>
    <tableColumn id="3" xr3:uid="{9BAE6315-2E54-4CB2-9C43-430EBC5C4288}" name="Forecast(# of Registrations)">
      <calculatedColumnFormula>_xlfn.FORECAST.ETS(A2,$B$2:$B$26,$A$2:$A$26,1,1)</calculatedColumnFormula>
    </tableColumn>
    <tableColumn id="4" xr3:uid="{FD46F115-FA38-4476-813E-5B7D37C91E98}" name="Lower Confidence Bound(# of Registrations)" dataDxfId="1">
      <calculatedColumnFormula>C2-_xlfn.FORECAST.ETS.CONFINT(A2,$B$2:$B$26,$A$2:$A$26,0.95,1,1)</calculatedColumnFormula>
    </tableColumn>
    <tableColumn id="5" xr3:uid="{B02FEF3E-C3B6-4730-A05F-D7B7DD661A2A}" name="Upper Confidence Bound(# of Registrations)" dataDxfId="0">
      <calculatedColumnFormula>C2+_xlfn.FORECAST.ETS.CONFINT(A2,$B$2:$B$26,$A$2:$A$26,0.95,1,1)</calculatedColumnFormula>
    </tableColumn>
    <tableColumn id="6" xr3:uid="{B07FAEC4-488D-4490-B024-B12DEDE19C38}" name="Forecasted Revenu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Registration_Date" xr10:uid="{C3C470C6-6D9F-4366-AC9D-F47B9DD91B81}" sourceName="Registration Date">
  <state minimalRefreshVersion="6" lastRefreshVersion="6" pivotCacheId="2078553194" filterType="unknown">
    <bounds startDate="2022-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Registration Date" xr10:uid="{67F9B1F0-309A-4303-978D-BA0FA4AB2167}" cache="NativeTimeline_Registration_Date" caption="Registration Date" level="2" selectionLevel="2" scrollPosition="2023-12-01T00:00:00"/>
</timelines>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8" Type="http://schemas.microsoft.com/office/2011/relationships/timeline" Target="../timelines/timeline1.xml"/><Relationship Id="rId3" Type="http://schemas.openxmlformats.org/officeDocument/2006/relationships/drawing" Target="../drawings/drawing2.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1DA6F-F963-4BE6-8B75-2E1E5A3CA792}">
  <sheetPr codeName="Sheet4"/>
  <dimension ref="A1:H1000"/>
  <sheetViews>
    <sheetView workbookViewId="0">
      <selection activeCell="L7" sqref="L7"/>
    </sheetView>
  </sheetViews>
  <sheetFormatPr defaultColWidth="14.44140625" defaultRowHeight="15.05" customHeight="1" x14ac:dyDescent="0.3"/>
  <cols>
    <col min="1" max="1" width="15" style="1" customWidth="1"/>
    <col min="2" max="2" width="16.33203125" style="1" customWidth="1"/>
    <col min="3" max="3" width="29.6640625" style="1" customWidth="1"/>
    <col min="4" max="4" width="16.109375" style="1" customWidth="1"/>
    <col min="5" max="5" width="28.44140625" style="1" customWidth="1"/>
    <col min="6" max="6" width="11.33203125" style="1" customWidth="1"/>
    <col min="7" max="7" width="16" style="1" customWidth="1"/>
    <col min="8" max="8" width="19.33203125" style="1" customWidth="1"/>
    <col min="9" max="26" width="8.6640625" style="1" customWidth="1"/>
    <col min="27" max="16384" width="14.44140625" style="1"/>
  </cols>
  <sheetData>
    <row r="1" spans="1:8" ht="14.25" customHeight="1" x14ac:dyDescent="0.3">
      <c r="A1" s="28" t="s">
        <v>338</v>
      </c>
      <c r="B1" s="28" t="s">
        <v>337</v>
      </c>
      <c r="C1" s="28" t="s">
        <v>336</v>
      </c>
      <c r="D1" s="28" t="s">
        <v>335</v>
      </c>
      <c r="E1" s="28" t="s">
        <v>334</v>
      </c>
      <c r="F1" s="29" t="s">
        <v>333</v>
      </c>
      <c r="G1" s="28" t="s">
        <v>332</v>
      </c>
      <c r="H1" s="28" t="s">
        <v>331</v>
      </c>
    </row>
    <row r="2" spans="1:8" ht="14.25" customHeight="1" x14ac:dyDescent="0.3">
      <c r="A2" s="24" t="s">
        <v>330</v>
      </c>
      <c r="B2" s="24" t="s">
        <v>329</v>
      </c>
      <c r="C2" s="24" t="s">
        <v>328</v>
      </c>
      <c r="D2" s="24" t="s">
        <v>32</v>
      </c>
      <c r="E2" s="24" t="s">
        <v>23</v>
      </c>
      <c r="F2" s="27" cm="1">
        <f t="array" ref="F2">_xlfn.IFS([1]Event_Data!F2="Workshop A",Assumptions!$F$3,[1]Event_Data!F2="Workshop B",Assumptions!$F$4,[1]Event_Data!$F2="Workshop C", Assumptions!$F$5,TRUE,Assumptions!$F$6)</f>
        <v>1195.7257720909597</v>
      </c>
      <c r="G2" s="24" t="s">
        <v>22</v>
      </c>
      <c r="H2" s="26">
        <v>44999</v>
      </c>
    </row>
    <row r="3" spans="1:8" ht="14.25" customHeight="1" x14ac:dyDescent="0.3">
      <c r="A3" s="24" t="s">
        <v>327</v>
      </c>
      <c r="B3" s="24" t="s">
        <v>326</v>
      </c>
      <c r="C3" s="24" t="s">
        <v>325</v>
      </c>
      <c r="D3" s="24" t="s">
        <v>24</v>
      </c>
      <c r="E3" s="24" t="s">
        <v>23</v>
      </c>
      <c r="F3" s="27" cm="1">
        <f t="array" ref="F3">_xlfn.IFS([1]Event_Data!F3="Workshop A",Assumptions!$F$3,[1]Event_Data!F3="Workshop B",Assumptions!$F$4,[1]Event_Data!$F3="Workshop C", Assumptions!$F$5,TRUE,Assumptions!$F$6)</f>
        <v>956.58061767276774</v>
      </c>
      <c r="G3" s="24" t="s">
        <v>36</v>
      </c>
      <c r="H3" s="26">
        <v>44937</v>
      </c>
    </row>
    <row r="4" spans="1:8" ht="14.25" customHeight="1" x14ac:dyDescent="0.3">
      <c r="A4" s="24" t="s">
        <v>324</v>
      </c>
      <c r="B4" s="24" t="s">
        <v>323</v>
      </c>
      <c r="C4" s="24" t="s">
        <v>322</v>
      </c>
      <c r="D4" s="24" t="s">
        <v>28</v>
      </c>
      <c r="E4" s="24" t="s">
        <v>37</v>
      </c>
      <c r="F4" s="27" cm="1">
        <f t="array" ref="F4">_xlfn.IFS([1]Event_Data!F4="Workshop A",Assumptions!$F$3,[1]Event_Data!F4="Workshop B",Assumptions!$F$4,[1]Event_Data!$F4="Workshop C", Assumptions!$F$5,TRUE,Assumptions!$F$6)</f>
        <v>1195.7257720909597</v>
      </c>
      <c r="G4" s="24" t="s">
        <v>36</v>
      </c>
      <c r="H4" s="26">
        <v>45349</v>
      </c>
    </row>
    <row r="5" spans="1:8" ht="14.25" customHeight="1" x14ac:dyDescent="0.3">
      <c r="A5" s="24" t="s">
        <v>321</v>
      </c>
      <c r="B5" s="24" t="s">
        <v>320</v>
      </c>
      <c r="C5" s="24" t="s">
        <v>319</v>
      </c>
      <c r="D5" s="24" t="s">
        <v>24</v>
      </c>
      <c r="E5" s="24" t="s">
        <v>37</v>
      </c>
      <c r="F5" s="27" cm="1">
        <f t="array" ref="F5">_xlfn.IFS([1]Event_Data!F5="Workshop A",Assumptions!$F$3,[1]Event_Data!F5="Workshop B",Assumptions!$F$4,[1]Event_Data!$F5="Workshop C", Assumptions!$F$5,TRUE,Assumptions!$F$6)</f>
        <v>1116.010720618229</v>
      </c>
      <c r="G5" s="24" t="s">
        <v>36</v>
      </c>
      <c r="H5" s="26">
        <v>45114</v>
      </c>
    </row>
    <row r="6" spans="1:8" ht="14.25" customHeight="1" x14ac:dyDescent="0.3">
      <c r="A6" s="24" t="s">
        <v>318</v>
      </c>
      <c r="B6" s="24" t="s">
        <v>317</v>
      </c>
      <c r="C6" s="24" t="s">
        <v>316</v>
      </c>
      <c r="D6" s="24" t="s">
        <v>32</v>
      </c>
      <c r="E6" s="24" t="s">
        <v>37</v>
      </c>
      <c r="F6" s="27" cm="1">
        <f t="array" ref="F6">_xlfn.IFS([1]Event_Data!F6="Workshop A",Assumptions!$F$3,[1]Event_Data!F6="Workshop B",Assumptions!$F$4,[1]Event_Data!$F6="Workshop C", Assumptions!$F$5,TRUE,Assumptions!$F$6)</f>
        <v>1076.1531948818638</v>
      </c>
      <c r="G6" s="24" t="s">
        <v>51</v>
      </c>
      <c r="H6" s="26">
        <v>44982</v>
      </c>
    </row>
    <row r="7" spans="1:8" ht="14.25" customHeight="1" x14ac:dyDescent="0.3">
      <c r="A7" s="24" t="s">
        <v>315</v>
      </c>
      <c r="B7" s="24" t="s">
        <v>314</v>
      </c>
      <c r="C7" s="24" t="s">
        <v>313</v>
      </c>
      <c r="D7" s="24" t="s">
        <v>28</v>
      </c>
      <c r="E7" s="24" t="s">
        <v>23</v>
      </c>
      <c r="F7" s="27" cm="1">
        <f t="array" ref="F7">_xlfn.IFS([1]Event_Data!F7="Workshop A",Assumptions!$F$3,[1]Event_Data!F7="Workshop B",Assumptions!$F$4,[1]Event_Data!$F7="Workshop C", Assumptions!$F$5,TRUE,Assumptions!$F$6)</f>
        <v>956.58061767276774</v>
      </c>
      <c r="G7" s="24" t="s">
        <v>36</v>
      </c>
      <c r="H7" s="26">
        <v>45155</v>
      </c>
    </row>
    <row r="8" spans="1:8" ht="14.25" customHeight="1" x14ac:dyDescent="0.3">
      <c r="A8" s="24" t="s">
        <v>312</v>
      </c>
      <c r="B8" s="24" t="s">
        <v>311</v>
      </c>
      <c r="C8" s="24" t="s">
        <v>310</v>
      </c>
      <c r="D8" s="24" t="s">
        <v>28</v>
      </c>
      <c r="E8" s="24" t="s">
        <v>37</v>
      </c>
      <c r="F8" s="27" cm="1">
        <f t="array" ref="F8">_xlfn.IFS([1]Event_Data!F8="Workshop A",Assumptions!$F$3,[1]Event_Data!F8="Workshop B",Assumptions!$F$4,[1]Event_Data!$F8="Workshop C", Assumptions!$F$5,TRUE,Assumptions!$F$6)</f>
        <v>956.58061767276774</v>
      </c>
      <c r="G8" s="24" t="s">
        <v>22</v>
      </c>
      <c r="H8" s="26">
        <v>45330</v>
      </c>
    </row>
    <row r="9" spans="1:8" ht="14.25" customHeight="1" x14ac:dyDescent="0.3">
      <c r="A9" s="24" t="s">
        <v>309</v>
      </c>
      <c r="B9" s="24" t="s">
        <v>308</v>
      </c>
      <c r="C9" s="24" t="s">
        <v>307</v>
      </c>
      <c r="D9" s="24" t="s">
        <v>28</v>
      </c>
      <c r="E9" s="24" t="s">
        <v>23</v>
      </c>
      <c r="F9" s="27" cm="1">
        <f t="array" ref="F9">_xlfn.IFS([1]Event_Data!F9="Workshop A",Assumptions!$F$3,[1]Event_Data!F9="Workshop B",Assumptions!$F$4,[1]Event_Data!$F9="Workshop C", Assumptions!$F$5,TRUE,Assumptions!$F$6)</f>
        <v>1076.1531948818638</v>
      </c>
      <c r="G9" s="24" t="s">
        <v>41</v>
      </c>
      <c r="H9" s="26">
        <v>45094</v>
      </c>
    </row>
    <row r="10" spans="1:8" ht="14.25" customHeight="1" x14ac:dyDescent="0.3">
      <c r="A10" s="24" t="s">
        <v>306</v>
      </c>
      <c r="B10" s="24" t="s">
        <v>305</v>
      </c>
      <c r="C10" s="24" t="s">
        <v>304</v>
      </c>
      <c r="D10" s="24" t="s">
        <v>32</v>
      </c>
      <c r="E10" s="24" t="s">
        <v>23</v>
      </c>
      <c r="F10" s="27" cm="1">
        <f t="array" ref="F10">_xlfn.IFS([1]Event_Data!F10="Workshop A",Assumptions!$F$3,[1]Event_Data!F10="Workshop B",Assumptions!$F$4,[1]Event_Data!$F10="Workshop C", Assumptions!$F$5,TRUE,Assumptions!$F$6)</f>
        <v>956.58061767276774</v>
      </c>
      <c r="G10" s="24" t="s">
        <v>22</v>
      </c>
      <c r="H10" s="26">
        <v>45470</v>
      </c>
    </row>
    <row r="11" spans="1:8" ht="14.25" customHeight="1" x14ac:dyDescent="0.3">
      <c r="A11" s="24" t="s">
        <v>303</v>
      </c>
      <c r="B11" s="24" t="s">
        <v>302</v>
      </c>
      <c r="C11" s="24" t="s">
        <v>301</v>
      </c>
      <c r="D11" s="24" t="s">
        <v>24</v>
      </c>
      <c r="E11" s="24" t="s">
        <v>23</v>
      </c>
      <c r="F11" s="27" cm="1">
        <f t="array" ref="F11">_xlfn.IFS([1]Event_Data!F11="Workshop A",Assumptions!$F$3,[1]Event_Data!F11="Workshop B",Assumptions!$F$4,[1]Event_Data!$F11="Workshop C", Assumptions!$F$5,TRUE,Assumptions!$F$6)</f>
        <v>1116.010720618229</v>
      </c>
      <c r="G11" s="24" t="s">
        <v>41</v>
      </c>
      <c r="H11" s="26">
        <v>45313</v>
      </c>
    </row>
    <row r="12" spans="1:8" ht="14.25" customHeight="1" x14ac:dyDescent="0.3">
      <c r="A12" s="24" t="s">
        <v>300</v>
      </c>
      <c r="B12" s="24" t="s">
        <v>299</v>
      </c>
      <c r="C12" s="24" t="s">
        <v>298</v>
      </c>
      <c r="D12" s="24" t="s">
        <v>28</v>
      </c>
      <c r="E12" s="24" t="s">
        <v>37</v>
      </c>
      <c r="F12" s="27" cm="1">
        <f t="array" ref="F12">_xlfn.IFS([1]Event_Data!F12="Workshop A",Assumptions!$F$3,[1]Event_Data!F12="Workshop B",Assumptions!$F$4,[1]Event_Data!$F12="Workshop C", Assumptions!$F$5,TRUE,Assumptions!$F$6)</f>
        <v>956.58061767276774</v>
      </c>
      <c r="G12" s="24" t="s">
        <v>51</v>
      </c>
      <c r="H12" s="26">
        <v>44975</v>
      </c>
    </row>
    <row r="13" spans="1:8" ht="14.25" customHeight="1" x14ac:dyDescent="0.3">
      <c r="A13" s="24" t="s">
        <v>297</v>
      </c>
      <c r="B13" s="24" t="s">
        <v>296</v>
      </c>
      <c r="C13" s="24" t="s">
        <v>295</v>
      </c>
      <c r="D13" s="24" t="s">
        <v>28</v>
      </c>
      <c r="E13" s="24" t="s">
        <v>37</v>
      </c>
      <c r="F13" s="27" cm="1">
        <f t="array" ref="F13">_xlfn.IFS([1]Event_Data!F13="Workshop A",Assumptions!$F$3,[1]Event_Data!F13="Workshop B",Assumptions!$F$4,[1]Event_Data!$F13="Workshop C", Assumptions!$F$5,TRUE,Assumptions!$F$6)</f>
        <v>1076.1531948818638</v>
      </c>
      <c r="G13" s="24" t="s">
        <v>22</v>
      </c>
      <c r="H13" s="26">
        <v>45331</v>
      </c>
    </row>
    <row r="14" spans="1:8" ht="14.25" customHeight="1" x14ac:dyDescent="0.3">
      <c r="A14" s="24" t="s">
        <v>294</v>
      </c>
      <c r="B14" s="24" t="s">
        <v>293</v>
      </c>
      <c r="C14" s="24" t="s">
        <v>292</v>
      </c>
      <c r="D14" s="24" t="s">
        <v>32</v>
      </c>
      <c r="E14" s="24" t="s">
        <v>37</v>
      </c>
      <c r="F14" s="27" cm="1">
        <f t="array" ref="F14">_xlfn.IFS([1]Event_Data!F14="Workshop A",Assumptions!$F$3,[1]Event_Data!F14="Workshop B",Assumptions!$F$4,[1]Event_Data!$F14="Workshop C", Assumptions!$F$5,TRUE,Assumptions!$F$6)</f>
        <v>956.58061767276774</v>
      </c>
      <c r="G14" s="24" t="s">
        <v>41</v>
      </c>
      <c r="H14" s="26">
        <v>45466</v>
      </c>
    </row>
    <row r="15" spans="1:8" ht="14.25" customHeight="1" x14ac:dyDescent="0.3">
      <c r="A15" s="24" t="s">
        <v>291</v>
      </c>
      <c r="B15" s="24" t="s">
        <v>290</v>
      </c>
      <c r="C15" s="24" t="s">
        <v>289</v>
      </c>
      <c r="D15" s="24" t="s">
        <v>28</v>
      </c>
      <c r="E15" s="24" t="s">
        <v>37</v>
      </c>
      <c r="F15" s="27" cm="1">
        <f t="array" ref="F15">_xlfn.IFS([1]Event_Data!F15="Workshop A",Assumptions!$F$3,[1]Event_Data!F15="Workshop B",Assumptions!$F$4,[1]Event_Data!$F15="Workshop C", Assumptions!$F$5,TRUE,Assumptions!$F$6)</f>
        <v>1116.010720618229</v>
      </c>
      <c r="G15" s="24" t="s">
        <v>36</v>
      </c>
      <c r="H15" s="26">
        <v>45155</v>
      </c>
    </row>
    <row r="16" spans="1:8" ht="14.25" customHeight="1" x14ac:dyDescent="0.3">
      <c r="A16" s="24" t="s">
        <v>288</v>
      </c>
      <c r="B16" s="24" t="s">
        <v>287</v>
      </c>
      <c r="C16" s="24" t="s">
        <v>286</v>
      </c>
      <c r="D16" s="24" t="s">
        <v>32</v>
      </c>
      <c r="E16" s="24" t="s">
        <v>37</v>
      </c>
      <c r="F16" s="27" cm="1">
        <f t="array" ref="F16">_xlfn.IFS([1]Event_Data!F16="Workshop A",Assumptions!$F$3,[1]Event_Data!F16="Workshop B",Assumptions!$F$4,[1]Event_Data!$F16="Workshop C", Assumptions!$F$5,TRUE,Assumptions!$F$6)</f>
        <v>956.58061767276774</v>
      </c>
      <c r="G16" s="24" t="s">
        <v>36</v>
      </c>
      <c r="H16" s="26">
        <v>45269</v>
      </c>
    </row>
    <row r="17" spans="1:8" ht="14.25" customHeight="1" x14ac:dyDescent="0.3">
      <c r="A17" s="24" t="s">
        <v>285</v>
      </c>
      <c r="B17" s="24" t="s">
        <v>284</v>
      </c>
      <c r="C17" s="24" t="s">
        <v>283</v>
      </c>
      <c r="D17" s="24" t="s">
        <v>24</v>
      </c>
      <c r="E17" s="24" t="s">
        <v>37</v>
      </c>
      <c r="F17" s="27" cm="1">
        <f t="array" ref="F17">_xlfn.IFS([1]Event_Data!F17="Workshop A",Assumptions!$F$3,[1]Event_Data!F17="Workshop B",Assumptions!$F$4,[1]Event_Data!$F17="Workshop C", Assumptions!$F$5,TRUE,Assumptions!$F$6)</f>
        <v>1116.010720618229</v>
      </c>
      <c r="G17" s="24" t="s">
        <v>36</v>
      </c>
      <c r="H17" s="26">
        <v>45199</v>
      </c>
    </row>
    <row r="18" spans="1:8" ht="14.25" customHeight="1" x14ac:dyDescent="0.3">
      <c r="A18" s="24" t="s">
        <v>282</v>
      </c>
      <c r="B18" s="24" t="s">
        <v>281</v>
      </c>
      <c r="C18" s="24" t="s">
        <v>280</v>
      </c>
      <c r="D18" s="24" t="s">
        <v>32</v>
      </c>
      <c r="E18" s="24" t="s">
        <v>23</v>
      </c>
      <c r="F18" s="27" cm="1">
        <f t="array" ref="F18">_xlfn.IFS([1]Event_Data!F18="Workshop A",Assumptions!$F$3,[1]Event_Data!F18="Workshop B",Assumptions!$F$4,[1]Event_Data!$F18="Workshop C", Assumptions!$F$5,TRUE,Assumptions!$F$6)</f>
        <v>1195.7257720909597</v>
      </c>
      <c r="G18" s="24" t="s">
        <v>41</v>
      </c>
      <c r="H18" s="26">
        <v>45474</v>
      </c>
    </row>
    <row r="19" spans="1:8" ht="14.25" customHeight="1" x14ac:dyDescent="0.3">
      <c r="A19" s="24" t="s">
        <v>279</v>
      </c>
      <c r="B19" s="24" t="s">
        <v>278</v>
      </c>
      <c r="C19" s="24" t="s">
        <v>277</v>
      </c>
      <c r="D19" s="24" t="s">
        <v>24</v>
      </c>
      <c r="E19" s="24" t="s">
        <v>23</v>
      </c>
      <c r="F19" s="27" cm="1">
        <f t="array" ref="F19">_xlfn.IFS([1]Event_Data!F19="Workshop A",Assumptions!$F$3,[1]Event_Data!F19="Workshop B",Assumptions!$F$4,[1]Event_Data!$F19="Workshop C", Assumptions!$F$5,TRUE,Assumptions!$F$6)</f>
        <v>1116.010720618229</v>
      </c>
      <c r="G19" s="24" t="s">
        <v>22</v>
      </c>
      <c r="H19" s="26">
        <v>45416</v>
      </c>
    </row>
    <row r="20" spans="1:8" ht="14.25" customHeight="1" x14ac:dyDescent="0.3">
      <c r="A20" s="24" t="s">
        <v>276</v>
      </c>
      <c r="B20" s="24" t="s">
        <v>275</v>
      </c>
      <c r="C20" s="24" t="s">
        <v>274</v>
      </c>
      <c r="D20" s="24" t="s">
        <v>24</v>
      </c>
      <c r="E20" s="24" t="s">
        <v>37</v>
      </c>
      <c r="F20" s="27" cm="1">
        <f t="array" ref="F20">_xlfn.IFS([1]Event_Data!F20="Workshop A",Assumptions!$F$3,[1]Event_Data!F20="Workshop B",Assumptions!$F$4,[1]Event_Data!$F20="Workshop C", Assumptions!$F$5,TRUE,Assumptions!$F$6)</f>
        <v>1195.7257720909597</v>
      </c>
      <c r="G20" s="24" t="s">
        <v>51</v>
      </c>
      <c r="H20" s="26">
        <v>45213</v>
      </c>
    </row>
    <row r="21" spans="1:8" ht="14.25" customHeight="1" x14ac:dyDescent="0.3">
      <c r="A21" s="24" t="s">
        <v>273</v>
      </c>
      <c r="B21" s="24" t="s">
        <v>272</v>
      </c>
      <c r="C21" s="24" t="s">
        <v>271</v>
      </c>
      <c r="D21" s="24" t="s">
        <v>24</v>
      </c>
      <c r="E21" s="24" t="s">
        <v>37</v>
      </c>
      <c r="F21" s="27" cm="1">
        <f t="array" ref="F21">_xlfn.IFS([1]Event_Data!F21="Workshop A",Assumptions!$F$3,[1]Event_Data!F21="Workshop B",Assumptions!$F$4,[1]Event_Data!$F21="Workshop C", Assumptions!$F$5,TRUE,Assumptions!$F$6)</f>
        <v>1116.010720618229</v>
      </c>
      <c r="G21" s="24" t="s">
        <v>22</v>
      </c>
      <c r="H21" s="26">
        <v>45036</v>
      </c>
    </row>
    <row r="22" spans="1:8" ht="14.25" customHeight="1" x14ac:dyDescent="0.3">
      <c r="A22" s="24" t="s">
        <v>270</v>
      </c>
      <c r="B22" s="24" t="s">
        <v>269</v>
      </c>
      <c r="C22" s="24" t="s">
        <v>268</v>
      </c>
      <c r="D22" s="24" t="s">
        <v>24</v>
      </c>
      <c r="E22" s="24" t="s">
        <v>23</v>
      </c>
      <c r="F22" s="27" cm="1">
        <f t="array" ref="F22">_xlfn.IFS([1]Event_Data!F22="Workshop A",Assumptions!$F$3,[1]Event_Data!F22="Workshop B",Assumptions!$F$4,[1]Event_Data!$F22="Workshop C", Assumptions!$F$5,TRUE,Assumptions!$F$6)</f>
        <v>1195.7257720909597</v>
      </c>
      <c r="G22" s="24" t="s">
        <v>41</v>
      </c>
      <c r="H22" s="26">
        <v>45131</v>
      </c>
    </row>
    <row r="23" spans="1:8" ht="14.25" customHeight="1" x14ac:dyDescent="0.3">
      <c r="A23" s="24" t="s">
        <v>267</v>
      </c>
      <c r="B23" s="24" t="s">
        <v>266</v>
      </c>
      <c r="C23" s="24" t="s">
        <v>265</v>
      </c>
      <c r="D23" s="24" t="s">
        <v>24</v>
      </c>
      <c r="E23" s="24" t="s">
        <v>23</v>
      </c>
      <c r="F23" s="27" cm="1">
        <f t="array" ref="F23">_xlfn.IFS([1]Event_Data!F23="Workshop A",Assumptions!$F$3,[1]Event_Data!F23="Workshop B",Assumptions!$F$4,[1]Event_Data!$F23="Workshop C", Assumptions!$F$5,TRUE,Assumptions!$F$6)</f>
        <v>1195.7257720909597</v>
      </c>
      <c r="G23" s="24" t="s">
        <v>51</v>
      </c>
      <c r="H23" s="26">
        <v>44926</v>
      </c>
    </row>
    <row r="24" spans="1:8" ht="14.25" customHeight="1" x14ac:dyDescent="0.3">
      <c r="A24" s="24" t="s">
        <v>264</v>
      </c>
      <c r="B24" s="24" t="s">
        <v>263</v>
      </c>
      <c r="C24" s="24" t="s">
        <v>262</v>
      </c>
      <c r="D24" s="24" t="s">
        <v>24</v>
      </c>
      <c r="E24" s="24" t="s">
        <v>23</v>
      </c>
      <c r="F24" s="27" cm="1">
        <f t="array" ref="F24">_xlfn.IFS([1]Event_Data!F24="Workshop A",Assumptions!$F$3,[1]Event_Data!F24="Workshop B",Assumptions!$F$4,[1]Event_Data!$F24="Workshop C", Assumptions!$F$5,TRUE,Assumptions!$F$6)</f>
        <v>1195.7257720909597</v>
      </c>
      <c r="G24" s="24" t="s">
        <v>51</v>
      </c>
      <c r="H24" s="26">
        <v>45343</v>
      </c>
    </row>
    <row r="25" spans="1:8" ht="14.25" customHeight="1" x14ac:dyDescent="0.3">
      <c r="A25" s="24" t="s">
        <v>261</v>
      </c>
      <c r="B25" s="24" t="s">
        <v>260</v>
      </c>
      <c r="C25" s="24" t="s">
        <v>259</v>
      </c>
      <c r="D25" s="24" t="s">
        <v>24</v>
      </c>
      <c r="E25" s="24" t="s">
        <v>37</v>
      </c>
      <c r="F25" s="27" cm="1">
        <f t="array" ref="F25">_xlfn.IFS([1]Event_Data!F25="Workshop A",Assumptions!$F$3,[1]Event_Data!F25="Workshop B",Assumptions!$F$4,[1]Event_Data!$F25="Workshop C", Assumptions!$F$5,TRUE,Assumptions!$F$6)</f>
        <v>1116.010720618229</v>
      </c>
      <c r="G25" s="24" t="s">
        <v>36</v>
      </c>
      <c r="H25" s="26">
        <v>45040</v>
      </c>
    </row>
    <row r="26" spans="1:8" ht="14.25" customHeight="1" x14ac:dyDescent="0.3">
      <c r="A26" s="24" t="s">
        <v>258</v>
      </c>
      <c r="B26" s="24" t="s">
        <v>257</v>
      </c>
      <c r="C26" s="24" t="s">
        <v>256</v>
      </c>
      <c r="D26" s="24" t="s">
        <v>24</v>
      </c>
      <c r="E26" s="24" t="s">
        <v>23</v>
      </c>
      <c r="F26" s="27" cm="1">
        <f t="array" ref="F26">_xlfn.IFS([1]Event_Data!F26="Workshop A",Assumptions!$F$3,[1]Event_Data!F26="Workshop B",Assumptions!$F$4,[1]Event_Data!$F26="Workshop C", Assumptions!$F$5,TRUE,Assumptions!$F$6)</f>
        <v>1116.010720618229</v>
      </c>
      <c r="G26" s="24" t="s">
        <v>51</v>
      </c>
      <c r="H26" s="26">
        <v>45313</v>
      </c>
    </row>
    <row r="27" spans="1:8" ht="14.25" customHeight="1" x14ac:dyDescent="0.3">
      <c r="A27" s="24" t="s">
        <v>255</v>
      </c>
      <c r="B27" s="24" t="s">
        <v>254</v>
      </c>
      <c r="C27" s="24" t="s">
        <v>253</v>
      </c>
      <c r="D27" s="24" t="s">
        <v>24</v>
      </c>
      <c r="E27" s="24" t="s">
        <v>23</v>
      </c>
      <c r="F27" s="27" cm="1">
        <f t="array" ref="F27">_xlfn.IFS([1]Event_Data!F27="Workshop A",Assumptions!$F$3,[1]Event_Data!F27="Workshop B",Assumptions!$F$4,[1]Event_Data!$F27="Workshop C", Assumptions!$F$5,TRUE,Assumptions!$F$6)</f>
        <v>1076.1531948818638</v>
      </c>
      <c r="G27" s="24" t="s">
        <v>22</v>
      </c>
      <c r="H27" s="26">
        <v>45373</v>
      </c>
    </row>
    <row r="28" spans="1:8" ht="14.25" customHeight="1" x14ac:dyDescent="0.3">
      <c r="A28" s="24" t="s">
        <v>252</v>
      </c>
      <c r="B28" s="24" t="s">
        <v>251</v>
      </c>
      <c r="C28" s="24" t="s">
        <v>250</v>
      </c>
      <c r="D28" s="24" t="s">
        <v>28</v>
      </c>
      <c r="E28" s="24" t="s">
        <v>37</v>
      </c>
      <c r="F28" s="27" cm="1">
        <f t="array" ref="F28">_xlfn.IFS([1]Event_Data!F28="Workshop A",Assumptions!$F$3,[1]Event_Data!F28="Workshop B",Assumptions!$F$4,[1]Event_Data!$F28="Workshop C", Assumptions!$F$5,TRUE,Assumptions!$F$6)</f>
        <v>1195.7257720909597</v>
      </c>
      <c r="G28" s="24" t="s">
        <v>22</v>
      </c>
      <c r="H28" s="26">
        <v>45410</v>
      </c>
    </row>
    <row r="29" spans="1:8" ht="14.25" customHeight="1" x14ac:dyDescent="0.3">
      <c r="A29" s="24" t="s">
        <v>249</v>
      </c>
      <c r="B29" s="24" t="s">
        <v>248</v>
      </c>
      <c r="C29" s="24" t="s">
        <v>247</v>
      </c>
      <c r="D29" s="24" t="s">
        <v>24</v>
      </c>
      <c r="E29" s="24" t="s">
        <v>23</v>
      </c>
      <c r="F29" s="27" cm="1">
        <f t="array" ref="F29">_xlfn.IFS([1]Event_Data!F29="Workshop A",Assumptions!$F$3,[1]Event_Data!F29="Workshop B",Assumptions!$F$4,[1]Event_Data!$F29="Workshop C", Assumptions!$F$5,TRUE,Assumptions!$F$6)</f>
        <v>956.58061767276774</v>
      </c>
      <c r="G29" s="24" t="s">
        <v>22</v>
      </c>
      <c r="H29" s="26">
        <v>45230</v>
      </c>
    </row>
    <row r="30" spans="1:8" ht="14.25" customHeight="1" x14ac:dyDescent="0.3">
      <c r="A30" s="24" t="s">
        <v>246</v>
      </c>
      <c r="B30" s="24" t="s">
        <v>245</v>
      </c>
      <c r="C30" s="24" t="s">
        <v>244</v>
      </c>
      <c r="D30" s="24" t="s">
        <v>28</v>
      </c>
      <c r="E30" s="24" t="s">
        <v>37</v>
      </c>
      <c r="F30" s="27" cm="1">
        <f t="array" ref="F30">_xlfn.IFS([1]Event_Data!F30="Workshop A",Assumptions!$F$3,[1]Event_Data!F30="Workshop B",Assumptions!$F$4,[1]Event_Data!$F30="Workshop C", Assumptions!$F$5,TRUE,Assumptions!$F$6)</f>
        <v>1195.7257720909597</v>
      </c>
      <c r="G30" s="24" t="s">
        <v>22</v>
      </c>
      <c r="H30" s="26">
        <v>45215</v>
      </c>
    </row>
    <row r="31" spans="1:8" ht="14.25" customHeight="1" x14ac:dyDescent="0.3">
      <c r="A31" s="24" t="s">
        <v>243</v>
      </c>
      <c r="B31" s="24" t="s">
        <v>242</v>
      </c>
      <c r="C31" s="24" t="s">
        <v>241</v>
      </c>
      <c r="D31" s="24" t="s">
        <v>28</v>
      </c>
      <c r="E31" s="24" t="s">
        <v>23</v>
      </c>
      <c r="F31" s="27" cm="1">
        <f t="array" ref="F31">_xlfn.IFS([1]Event_Data!F31="Workshop A",Assumptions!$F$3,[1]Event_Data!F31="Workshop B",Assumptions!$F$4,[1]Event_Data!$F31="Workshop C", Assumptions!$F$5,TRUE,Assumptions!$F$6)</f>
        <v>956.58061767276774</v>
      </c>
      <c r="G31" s="24" t="s">
        <v>36</v>
      </c>
      <c r="H31" s="26">
        <v>45530</v>
      </c>
    </row>
    <row r="32" spans="1:8" ht="14.25" customHeight="1" x14ac:dyDescent="0.3">
      <c r="A32" s="24" t="s">
        <v>240</v>
      </c>
      <c r="B32" s="24" t="s">
        <v>239</v>
      </c>
      <c r="C32" s="24" t="s">
        <v>238</v>
      </c>
      <c r="D32" s="24" t="s">
        <v>32</v>
      </c>
      <c r="E32" s="24" t="s">
        <v>37</v>
      </c>
      <c r="F32" s="27" cm="1">
        <f t="array" ref="F32">_xlfn.IFS([1]Event_Data!F32="Workshop A",Assumptions!$F$3,[1]Event_Data!F32="Workshop B",Assumptions!$F$4,[1]Event_Data!$F32="Workshop C", Assumptions!$F$5,TRUE,Assumptions!$F$6)</f>
        <v>1116.010720618229</v>
      </c>
      <c r="G32" s="24" t="s">
        <v>51</v>
      </c>
      <c r="H32" s="26">
        <v>45533</v>
      </c>
    </row>
    <row r="33" spans="1:8" ht="14.25" customHeight="1" x14ac:dyDescent="0.3">
      <c r="A33" s="24" t="s">
        <v>237</v>
      </c>
      <c r="B33" s="24" t="s">
        <v>236</v>
      </c>
      <c r="C33" s="24" t="s">
        <v>235</v>
      </c>
      <c r="D33" s="24" t="s">
        <v>28</v>
      </c>
      <c r="E33" s="24" t="s">
        <v>23</v>
      </c>
      <c r="F33" s="27" cm="1">
        <f t="array" ref="F33">_xlfn.IFS([1]Event_Data!F33="Workshop A",Assumptions!$F$3,[1]Event_Data!F33="Workshop B",Assumptions!$F$4,[1]Event_Data!$F33="Workshop C", Assumptions!$F$5,TRUE,Assumptions!$F$6)</f>
        <v>1195.7257720909597</v>
      </c>
      <c r="G33" s="24" t="s">
        <v>41</v>
      </c>
      <c r="H33" s="26">
        <v>45299</v>
      </c>
    </row>
    <row r="34" spans="1:8" ht="14.25" customHeight="1" x14ac:dyDescent="0.3">
      <c r="A34" s="24" t="s">
        <v>234</v>
      </c>
      <c r="B34" s="24" t="s">
        <v>233</v>
      </c>
      <c r="C34" s="24" t="s">
        <v>232</v>
      </c>
      <c r="D34" s="24" t="s">
        <v>28</v>
      </c>
      <c r="E34" s="24" t="s">
        <v>37</v>
      </c>
      <c r="F34" s="27" cm="1">
        <f t="array" ref="F34">_xlfn.IFS([1]Event_Data!F34="Workshop A",Assumptions!$F$3,[1]Event_Data!F34="Workshop B",Assumptions!$F$4,[1]Event_Data!$F34="Workshop C", Assumptions!$F$5,TRUE,Assumptions!$F$6)</f>
        <v>1076.1531948818638</v>
      </c>
      <c r="G34" s="24" t="s">
        <v>22</v>
      </c>
      <c r="H34" s="26">
        <v>45260</v>
      </c>
    </row>
    <row r="35" spans="1:8" ht="14.25" customHeight="1" x14ac:dyDescent="0.3">
      <c r="A35" s="24" t="s">
        <v>231</v>
      </c>
      <c r="B35" s="24" t="s">
        <v>230</v>
      </c>
      <c r="C35" s="24" t="s">
        <v>229</v>
      </c>
      <c r="D35" s="24" t="s">
        <v>24</v>
      </c>
      <c r="E35" s="24" t="s">
        <v>37</v>
      </c>
      <c r="F35" s="27" cm="1">
        <f t="array" ref="F35">_xlfn.IFS([1]Event_Data!F35="Workshop A",Assumptions!$F$3,[1]Event_Data!F35="Workshop B",Assumptions!$F$4,[1]Event_Data!$F35="Workshop C", Assumptions!$F$5,TRUE,Assumptions!$F$6)</f>
        <v>1195.7257720909597</v>
      </c>
      <c r="G35" s="24" t="s">
        <v>41</v>
      </c>
      <c r="H35" s="26">
        <v>45368</v>
      </c>
    </row>
    <row r="36" spans="1:8" ht="14.25" customHeight="1" x14ac:dyDescent="0.3">
      <c r="A36" s="24" t="s">
        <v>228</v>
      </c>
      <c r="B36" s="24" t="s">
        <v>227</v>
      </c>
      <c r="C36" s="24" t="s">
        <v>226</v>
      </c>
      <c r="D36" s="24" t="s">
        <v>28</v>
      </c>
      <c r="E36" s="24" t="s">
        <v>37</v>
      </c>
      <c r="F36" s="27" cm="1">
        <f t="array" ref="F36">_xlfn.IFS([1]Event_Data!F36="Workshop A",Assumptions!$F$3,[1]Event_Data!F36="Workshop B",Assumptions!$F$4,[1]Event_Data!$F36="Workshop C", Assumptions!$F$5,TRUE,Assumptions!$F$6)</f>
        <v>956.58061767276774</v>
      </c>
      <c r="G36" s="24" t="s">
        <v>36</v>
      </c>
      <c r="H36" s="26">
        <v>45476</v>
      </c>
    </row>
    <row r="37" spans="1:8" ht="14.25" customHeight="1" x14ac:dyDescent="0.3">
      <c r="A37" s="24" t="s">
        <v>225</v>
      </c>
      <c r="B37" s="24" t="s">
        <v>224</v>
      </c>
      <c r="C37" s="24" t="s">
        <v>223</v>
      </c>
      <c r="D37" s="24" t="s">
        <v>32</v>
      </c>
      <c r="E37" s="24" t="s">
        <v>23</v>
      </c>
      <c r="F37" s="27" cm="1">
        <f t="array" ref="F37">_xlfn.IFS([1]Event_Data!F37="Workshop A",Assumptions!$F$3,[1]Event_Data!F37="Workshop B",Assumptions!$F$4,[1]Event_Data!$F37="Workshop C", Assumptions!$F$5,TRUE,Assumptions!$F$6)</f>
        <v>1195.7257720909597</v>
      </c>
      <c r="G37" s="24" t="s">
        <v>51</v>
      </c>
      <c r="H37" s="26">
        <v>45484</v>
      </c>
    </row>
    <row r="38" spans="1:8" ht="14.25" customHeight="1" x14ac:dyDescent="0.3">
      <c r="A38" s="24" t="s">
        <v>222</v>
      </c>
      <c r="B38" s="24" t="s">
        <v>221</v>
      </c>
      <c r="C38" s="24" t="s">
        <v>220</v>
      </c>
      <c r="D38" s="24" t="s">
        <v>28</v>
      </c>
      <c r="E38" s="24" t="s">
        <v>37</v>
      </c>
      <c r="F38" s="27" cm="1">
        <f t="array" ref="F38">_xlfn.IFS([1]Event_Data!F38="Workshop A",Assumptions!$F$3,[1]Event_Data!F38="Workshop B",Assumptions!$F$4,[1]Event_Data!$F38="Workshop C", Assumptions!$F$5,TRUE,Assumptions!$F$6)</f>
        <v>956.58061767276774</v>
      </c>
      <c r="G38" s="24" t="s">
        <v>41</v>
      </c>
      <c r="H38" s="26">
        <v>45071</v>
      </c>
    </row>
    <row r="39" spans="1:8" ht="14.25" customHeight="1" x14ac:dyDescent="0.3">
      <c r="A39" s="24" t="s">
        <v>219</v>
      </c>
      <c r="B39" s="24" t="s">
        <v>218</v>
      </c>
      <c r="C39" s="24" t="s">
        <v>217</v>
      </c>
      <c r="D39" s="24" t="s">
        <v>24</v>
      </c>
      <c r="E39" s="24" t="s">
        <v>23</v>
      </c>
      <c r="F39" s="27" cm="1">
        <f t="array" ref="F39">_xlfn.IFS([1]Event_Data!F39="Workshop A",Assumptions!$F$3,[1]Event_Data!F39="Workshop B",Assumptions!$F$4,[1]Event_Data!$F39="Workshop C", Assumptions!$F$5,TRUE,Assumptions!$F$6)</f>
        <v>1116.010720618229</v>
      </c>
      <c r="G39" s="24" t="s">
        <v>22</v>
      </c>
      <c r="H39" s="26">
        <v>45307</v>
      </c>
    </row>
    <row r="40" spans="1:8" ht="14.25" customHeight="1" x14ac:dyDescent="0.3">
      <c r="A40" s="24" t="s">
        <v>216</v>
      </c>
      <c r="B40" s="24" t="s">
        <v>215</v>
      </c>
      <c r="C40" s="24" t="s">
        <v>214</v>
      </c>
      <c r="D40" s="24" t="s">
        <v>32</v>
      </c>
      <c r="E40" s="24" t="s">
        <v>37</v>
      </c>
      <c r="F40" s="27" cm="1">
        <f t="array" ref="F40">_xlfn.IFS([1]Event_Data!F40="Workshop A",Assumptions!$F$3,[1]Event_Data!F40="Workshop B",Assumptions!$F$4,[1]Event_Data!$F40="Workshop C", Assumptions!$F$5,TRUE,Assumptions!$F$6)</f>
        <v>1076.1531948818638</v>
      </c>
      <c r="G40" s="24" t="s">
        <v>41</v>
      </c>
      <c r="H40" s="26">
        <v>45590</v>
      </c>
    </row>
    <row r="41" spans="1:8" ht="14.25" customHeight="1" x14ac:dyDescent="0.3">
      <c r="A41" s="24" t="s">
        <v>213</v>
      </c>
      <c r="B41" s="24" t="s">
        <v>212</v>
      </c>
      <c r="C41" s="24" t="s">
        <v>211</v>
      </c>
      <c r="D41" s="24" t="s">
        <v>24</v>
      </c>
      <c r="E41" s="24" t="s">
        <v>23</v>
      </c>
      <c r="F41" s="27" cm="1">
        <f t="array" ref="F41">_xlfn.IFS([1]Event_Data!F41="Workshop A",Assumptions!$F$3,[1]Event_Data!F41="Workshop B",Assumptions!$F$4,[1]Event_Data!$F41="Workshop C", Assumptions!$F$5,TRUE,Assumptions!$F$6)</f>
        <v>1116.010720618229</v>
      </c>
      <c r="G41" s="24" t="s">
        <v>22</v>
      </c>
      <c r="H41" s="26">
        <v>45456</v>
      </c>
    </row>
    <row r="42" spans="1:8" ht="14.25" customHeight="1" x14ac:dyDescent="0.3">
      <c r="A42" s="24" t="s">
        <v>210</v>
      </c>
      <c r="B42" s="24" t="s">
        <v>209</v>
      </c>
      <c r="C42" s="24" t="s">
        <v>208</v>
      </c>
      <c r="D42" s="24" t="s">
        <v>32</v>
      </c>
      <c r="E42" s="24" t="s">
        <v>37</v>
      </c>
      <c r="F42" s="27" cm="1">
        <f t="array" ref="F42">_xlfn.IFS([1]Event_Data!F42="Workshop A",Assumptions!$F$3,[1]Event_Data!F42="Workshop B",Assumptions!$F$4,[1]Event_Data!$F42="Workshop C", Assumptions!$F$5,TRUE,Assumptions!$F$6)</f>
        <v>1195.7257720909597</v>
      </c>
      <c r="G42" s="24" t="s">
        <v>22</v>
      </c>
      <c r="H42" s="26">
        <v>45566</v>
      </c>
    </row>
    <row r="43" spans="1:8" ht="14.25" customHeight="1" x14ac:dyDescent="0.3">
      <c r="A43" s="24" t="s">
        <v>207</v>
      </c>
      <c r="B43" s="24" t="s">
        <v>206</v>
      </c>
      <c r="C43" s="24" t="s">
        <v>205</v>
      </c>
      <c r="D43" s="24" t="s">
        <v>28</v>
      </c>
      <c r="E43" s="24" t="s">
        <v>23</v>
      </c>
      <c r="F43" s="27" cm="1">
        <f t="array" ref="F43">_xlfn.IFS([1]Event_Data!F43="Workshop A",Assumptions!$F$3,[1]Event_Data!F43="Workshop B",Assumptions!$F$4,[1]Event_Data!$F43="Workshop C", Assumptions!$F$5,TRUE,Assumptions!$F$6)</f>
        <v>1116.010720618229</v>
      </c>
      <c r="G43" s="24" t="s">
        <v>22</v>
      </c>
      <c r="H43" s="26">
        <v>45560</v>
      </c>
    </row>
    <row r="44" spans="1:8" ht="14.25" customHeight="1" x14ac:dyDescent="0.3">
      <c r="A44" s="24" t="s">
        <v>204</v>
      </c>
      <c r="B44" s="24" t="s">
        <v>203</v>
      </c>
      <c r="C44" s="24" t="s">
        <v>202</v>
      </c>
      <c r="D44" s="24" t="s">
        <v>24</v>
      </c>
      <c r="E44" s="24" t="s">
        <v>23</v>
      </c>
      <c r="F44" s="27" cm="1">
        <f t="array" ref="F44">_xlfn.IFS([1]Event_Data!F44="Workshop A",Assumptions!$F$3,[1]Event_Data!F44="Workshop B",Assumptions!$F$4,[1]Event_Data!$F44="Workshop C", Assumptions!$F$5,TRUE,Assumptions!$F$6)</f>
        <v>1195.7257720909597</v>
      </c>
      <c r="G44" s="24" t="s">
        <v>41</v>
      </c>
      <c r="H44" s="26">
        <v>44962</v>
      </c>
    </row>
    <row r="45" spans="1:8" ht="14.25" customHeight="1" x14ac:dyDescent="0.3">
      <c r="A45" s="24" t="s">
        <v>201</v>
      </c>
      <c r="B45" s="24" t="s">
        <v>200</v>
      </c>
      <c r="C45" s="24" t="s">
        <v>199</v>
      </c>
      <c r="D45" s="24" t="s">
        <v>28</v>
      </c>
      <c r="E45" s="24" t="s">
        <v>37</v>
      </c>
      <c r="F45" s="27" cm="1">
        <f t="array" ref="F45">_xlfn.IFS([1]Event_Data!F45="Workshop A",Assumptions!$F$3,[1]Event_Data!F45="Workshop B",Assumptions!$F$4,[1]Event_Data!$F45="Workshop C", Assumptions!$F$5,TRUE,Assumptions!$F$6)</f>
        <v>1116.010720618229</v>
      </c>
      <c r="G45" s="24" t="s">
        <v>41</v>
      </c>
      <c r="H45" s="26">
        <v>44941</v>
      </c>
    </row>
    <row r="46" spans="1:8" ht="14.25" customHeight="1" x14ac:dyDescent="0.3">
      <c r="A46" s="24" t="s">
        <v>198</v>
      </c>
      <c r="B46" s="24" t="s">
        <v>197</v>
      </c>
      <c r="C46" s="24" t="s">
        <v>196</v>
      </c>
      <c r="D46" s="24" t="s">
        <v>28</v>
      </c>
      <c r="E46" s="24" t="s">
        <v>23</v>
      </c>
      <c r="F46" s="27" cm="1">
        <f t="array" ref="F46">_xlfn.IFS([1]Event_Data!F46="Workshop A",Assumptions!$F$3,[1]Event_Data!F46="Workshop B",Assumptions!$F$4,[1]Event_Data!$F46="Workshop C", Assumptions!$F$5,TRUE,Assumptions!$F$6)</f>
        <v>1195.7257720909597</v>
      </c>
      <c r="G46" s="24" t="s">
        <v>36</v>
      </c>
      <c r="H46" s="26">
        <v>45338</v>
      </c>
    </row>
    <row r="47" spans="1:8" ht="14.25" customHeight="1" x14ac:dyDescent="0.3">
      <c r="A47" s="24" t="s">
        <v>195</v>
      </c>
      <c r="B47" s="24" t="s">
        <v>194</v>
      </c>
      <c r="C47" s="24" t="s">
        <v>193</v>
      </c>
      <c r="D47" s="24" t="s">
        <v>32</v>
      </c>
      <c r="E47" s="24" t="s">
        <v>37</v>
      </c>
      <c r="F47" s="27" cm="1">
        <f t="array" ref="F47">_xlfn.IFS([1]Event_Data!F47="Workshop A",Assumptions!$F$3,[1]Event_Data!F47="Workshop B",Assumptions!$F$4,[1]Event_Data!$F47="Workshop C", Assumptions!$F$5,TRUE,Assumptions!$F$6)</f>
        <v>1195.7257720909597</v>
      </c>
      <c r="G47" s="24" t="s">
        <v>22</v>
      </c>
      <c r="H47" s="26">
        <v>45322</v>
      </c>
    </row>
    <row r="48" spans="1:8" ht="14.25" customHeight="1" x14ac:dyDescent="0.3">
      <c r="A48" s="24" t="s">
        <v>192</v>
      </c>
      <c r="B48" s="24" t="s">
        <v>191</v>
      </c>
      <c r="C48" s="24" t="s">
        <v>190</v>
      </c>
      <c r="D48" s="24" t="s">
        <v>24</v>
      </c>
      <c r="E48" s="24" t="s">
        <v>37</v>
      </c>
      <c r="F48" s="27" cm="1">
        <f t="array" ref="F48">_xlfn.IFS([1]Event_Data!F48="Workshop A",Assumptions!$F$3,[1]Event_Data!F48="Workshop B",Assumptions!$F$4,[1]Event_Data!$F48="Workshop C", Assumptions!$F$5,TRUE,Assumptions!$F$6)</f>
        <v>1195.7257720909597</v>
      </c>
      <c r="G48" s="24" t="s">
        <v>51</v>
      </c>
      <c r="H48" s="26">
        <v>45593</v>
      </c>
    </row>
    <row r="49" spans="1:8" ht="14.25" customHeight="1" x14ac:dyDescent="0.3">
      <c r="A49" s="24" t="s">
        <v>189</v>
      </c>
      <c r="B49" s="24" t="s">
        <v>188</v>
      </c>
      <c r="C49" s="24" t="s">
        <v>187</v>
      </c>
      <c r="D49" s="24" t="s">
        <v>28</v>
      </c>
      <c r="E49" s="24" t="s">
        <v>23</v>
      </c>
      <c r="F49" s="27" cm="1">
        <f t="array" ref="F49">_xlfn.IFS([1]Event_Data!F49="Workshop A",Assumptions!$F$3,[1]Event_Data!F49="Workshop B",Assumptions!$F$4,[1]Event_Data!$F49="Workshop C", Assumptions!$F$5,TRUE,Assumptions!$F$6)</f>
        <v>1195.7257720909597</v>
      </c>
      <c r="G49" s="24" t="s">
        <v>51</v>
      </c>
      <c r="H49" s="26">
        <v>44966</v>
      </c>
    </row>
    <row r="50" spans="1:8" ht="14.25" customHeight="1" x14ac:dyDescent="0.3">
      <c r="A50" s="24" t="s">
        <v>186</v>
      </c>
      <c r="B50" s="24" t="s">
        <v>185</v>
      </c>
      <c r="C50" s="24" t="s">
        <v>184</v>
      </c>
      <c r="D50" s="24" t="s">
        <v>32</v>
      </c>
      <c r="E50" s="24" t="s">
        <v>23</v>
      </c>
      <c r="F50" s="27" cm="1">
        <f t="array" ref="F50">_xlfn.IFS([1]Event_Data!F50="Workshop A",Assumptions!$F$3,[1]Event_Data!F50="Workshop B",Assumptions!$F$4,[1]Event_Data!$F50="Workshop C", Assumptions!$F$5,TRUE,Assumptions!$F$6)</f>
        <v>956.58061767276774</v>
      </c>
      <c r="G50" s="24" t="s">
        <v>22</v>
      </c>
      <c r="H50" s="26">
        <v>45513</v>
      </c>
    </row>
    <row r="51" spans="1:8" ht="14.25" customHeight="1" x14ac:dyDescent="0.3">
      <c r="A51" s="24" t="s">
        <v>183</v>
      </c>
      <c r="B51" s="24" t="s">
        <v>182</v>
      </c>
      <c r="C51" s="24" t="s">
        <v>181</v>
      </c>
      <c r="D51" s="24" t="s">
        <v>28</v>
      </c>
      <c r="E51" s="24" t="s">
        <v>23</v>
      </c>
      <c r="F51" s="27" cm="1">
        <f t="array" ref="F51">_xlfn.IFS([1]Event_Data!F51="Workshop A",Assumptions!$F$3,[1]Event_Data!F51="Workshop B",Assumptions!$F$4,[1]Event_Data!$F51="Workshop C", Assumptions!$F$5,TRUE,Assumptions!$F$6)</f>
        <v>1195.7257720909597</v>
      </c>
      <c r="G51" s="24" t="s">
        <v>51</v>
      </c>
      <c r="H51" s="26">
        <v>45322</v>
      </c>
    </row>
    <row r="52" spans="1:8" ht="14.25" customHeight="1" x14ac:dyDescent="0.3">
      <c r="A52" s="24" t="s">
        <v>180</v>
      </c>
      <c r="B52" s="24" t="s">
        <v>179</v>
      </c>
      <c r="C52" s="24" t="s">
        <v>178</v>
      </c>
      <c r="D52" s="24" t="s">
        <v>32</v>
      </c>
      <c r="E52" s="24" t="s">
        <v>23</v>
      </c>
      <c r="F52" s="27" cm="1">
        <f t="array" ref="F52">_xlfn.IFS([1]Event_Data!F52="Workshop A",Assumptions!$F$3,[1]Event_Data!F52="Workshop B",Assumptions!$F$4,[1]Event_Data!$F52="Workshop C", Assumptions!$F$5,TRUE,Assumptions!$F$6)</f>
        <v>1076.1531948818638</v>
      </c>
      <c r="G52" s="24" t="s">
        <v>22</v>
      </c>
      <c r="H52" s="26">
        <v>45353</v>
      </c>
    </row>
    <row r="53" spans="1:8" ht="14.25" customHeight="1" x14ac:dyDescent="0.3">
      <c r="A53" s="24" t="s">
        <v>177</v>
      </c>
      <c r="B53" s="24" t="s">
        <v>176</v>
      </c>
      <c r="C53" s="24" t="s">
        <v>175</v>
      </c>
      <c r="D53" s="24" t="s">
        <v>28</v>
      </c>
      <c r="E53" s="24" t="s">
        <v>23</v>
      </c>
      <c r="F53" s="27" cm="1">
        <f t="array" ref="F53">_xlfn.IFS([1]Event_Data!F53="Workshop A",Assumptions!$F$3,[1]Event_Data!F53="Workshop B",Assumptions!$F$4,[1]Event_Data!$F53="Workshop C", Assumptions!$F$5,TRUE,Assumptions!$F$6)</f>
        <v>1116.010720618229</v>
      </c>
      <c r="G53" s="24" t="s">
        <v>36</v>
      </c>
      <c r="H53" s="26">
        <v>45375</v>
      </c>
    </row>
    <row r="54" spans="1:8" ht="14.25" customHeight="1" x14ac:dyDescent="0.3">
      <c r="A54" s="24" t="s">
        <v>174</v>
      </c>
      <c r="B54" s="24" t="s">
        <v>173</v>
      </c>
      <c r="C54" s="24" t="s">
        <v>172</v>
      </c>
      <c r="D54" s="24" t="s">
        <v>32</v>
      </c>
      <c r="E54" s="24" t="s">
        <v>23</v>
      </c>
      <c r="F54" s="27" cm="1">
        <f t="array" ref="F54">_xlfn.IFS([1]Event_Data!F54="Workshop A",Assumptions!$F$3,[1]Event_Data!F54="Workshop B",Assumptions!$F$4,[1]Event_Data!$F54="Workshop C", Assumptions!$F$5,TRUE,Assumptions!$F$6)</f>
        <v>1195.7257720909597</v>
      </c>
      <c r="G54" s="24" t="s">
        <v>41</v>
      </c>
      <c r="H54" s="26">
        <v>45142</v>
      </c>
    </row>
    <row r="55" spans="1:8" ht="14.25" customHeight="1" x14ac:dyDescent="0.3">
      <c r="A55" s="24" t="s">
        <v>171</v>
      </c>
      <c r="B55" s="24" t="s">
        <v>170</v>
      </c>
      <c r="C55" s="24" t="s">
        <v>169</v>
      </c>
      <c r="D55" s="24" t="s">
        <v>28</v>
      </c>
      <c r="E55" s="24" t="s">
        <v>37</v>
      </c>
      <c r="F55" s="27" cm="1">
        <f t="array" ref="F55">_xlfn.IFS([1]Event_Data!F55="Workshop A",Assumptions!$F$3,[1]Event_Data!F55="Workshop B",Assumptions!$F$4,[1]Event_Data!$F55="Workshop C", Assumptions!$F$5,TRUE,Assumptions!$F$6)</f>
        <v>956.58061767276774</v>
      </c>
      <c r="G55" s="24" t="s">
        <v>22</v>
      </c>
      <c r="H55" s="26">
        <v>45506</v>
      </c>
    </row>
    <row r="56" spans="1:8" ht="14.25" customHeight="1" x14ac:dyDescent="0.3">
      <c r="A56" s="24" t="s">
        <v>168</v>
      </c>
      <c r="B56" s="24" t="s">
        <v>167</v>
      </c>
      <c r="C56" s="24" t="s">
        <v>166</v>
      </c>
      <c r="D56" s="24" t="s">
        <v>24</v>
      </c>
      <c r="E56" s="24" t="s">
        <v>23</v>
      </c>
      <c r="F56" s="27" cm="1">
        <f t="array" ref="F56">_xlfn.IFS([1]Event_Data!F56="Workshop A",Assumptions!$F$3,[1]Event_Data!F56="Workshop B",Assumptions!$F$4,[1]Event_Data!$F56="Workshop C", Assumptions!$F$5,TRUE,Assumptions!$F$6)</f>
        <v>1076.1531948818638</v>
      </c>
      <c r="G56" s="24" t="s">
        <v>41</v>
      </c>
      <c r="H56" s="26">
        <v>45598</v>
      </c>
    </row>
    <row r="57" spans="1:8" ht="14.25" customHeight="1" x14ac:dyDescent="0.3">
      <c r="A57" s="24" t="s">
        <v>165</v>
      </c>
      <c r="B57" s="24" t="s">
        <v>164</v>
      </c>
      <c r="C57" s="24" t="s">
        <v>163</v>
      </c>
      <c r="D57" s="24" t="s">
        <v>24</v>
      </c>
      <c r="E57" s="24" t="s">
        <v>23</v>
      </c>
      <c r="F57" s="27" cm="1">
        <f t="array" ref="F57">_xlfn.IFS([1]Event_Data!F57="Workshop A",Assumptions!$F$3,[1]Event_Data!F57="Workshop B",Assumptions!$F$4,[1]Event_Data!$F57="Workshop C", Assumptions!$F$5,TRUE,Assumptions!$F$6)</f>
        <v>1076.1531948818638</v>
      </c>
      <c r="G57" s="24" t="s">
        <v>51</v>
      </c>
      <c r="H57" s="26">
        <v>45534</v>
      </c>
    </row>
    <row r="58" spans="1:8" ht="14.25" customHeight="1" x14ac:dyDescent="0.3">
      <c r="A58" s="24" t="s">
        <v>162</v>
      </c>
      <c r="B58" s="24" t="s">
        <v>161</v>
      </c>
      <c r="C58" s="24" t="s">
        <v>160</v>
      </c>
      <c r="D58" s="24" t="s">
        <v>24</v>
      </c>
      <c r="E58" s="24" t="s">
        <v>23</v>
      </c>
      <c r="F58" s="27" cm="1">
        <f t="array" ref="F58">_xlfn.IFS([1]Event_Data!F58="Workshop A",Assumptions!$F$3,[1]Event_Data!F58="Workshop B",Assumptions!$F$4,[1]Event_Data!$F58="Workshop C", Assumptions!$F$5,TRUE,Assumptions!$F$6)</f>
        <v>1116.010720618229</v>
      </c>
      <c r="G58" s="24" t="s">
        <v>36</v>
      </c>
      <c r="H58" s="26">
        <v>44979</v>
      </c>
    </row>
    <row r="59" spans="1:8" ht="14.25" customHeight="1" x14ac:dyDescent="0.3">
      <c r="A59" s="24" t="s">
        <v>159</v>
      </c>
      <c r="B59" s="24" t="s">
        <v>158</v>
      </c>
      <c r="C59" s="24" t="s">
        <v>157</v>
      </c>
      <c r="D59" s="24" t="s">
        <v>24</v>
      </c>
      <c r="E59" s="24" t="s">
        <v>23</v>
      </c>
      <c r="F59" s="27" cm="1">
        <f t="array" ref="F59">_xlfn.IFS([1]Event_Data!F59="Workshop A",Assumptions!$F$3,[1]Event_Data!F59="Workshop B",Assumptions!$F$4,[1]Event_Data!$F59="Workshop C", Assumptions!$F$5,TRUE,Assumptions!$F$6)</f>
        <v>1116.010720618229</v>
      </c>
      <c r="G59" s="24" t="s">
        <v>51</v>
      </c>
      <c r="H59" s="26">
        <v>45026</v>
      </c>
    </row>
    <row r="60" spans="1:8" ht="14.25" customHeight="1" x14ac:dyDescent="0.3">
      <c r="A60" s="24" t="s">
        <v>156</v>
      </c>
      <c r="B60" s="24" t="s">
        <v>155</v>
      </c>
      <c r="C60" s="24" t="s">
        <v>154</v>
      </c>
      <c r="D60" s="24" t="s">
        <v>28</v>
      </c>
      <c r="E60" s="24" t="s">
        <v>37</v>
      </c>
      <c r="F60" s="27" cm="1">
        <f t="array" ref="F60">_xlfn.IFS([1]Event_Data!F60="Workshop A",Assumptions!$F$3,[1]Event_Data!F60="Workshop B",Assumptions!$F$4,[1]Event_Data!$F60="Workshop C", Assumptions!$F$5,TRUE,Assumptions!$F$6)</f>
        <v>1116.010720618229</v>
      </c>
      <c r="G60" s="24" t="s">
        <v>41</v>
      </c>
      <c r="H60" s="26">
        <v>44978</v>
      </c>
    </row>
    <row r="61" spans="1:8" ht="14.25" customHeight="1" x14ac:dyDescent="0.3">
      <c r="A61" s="24" t="s">
        <v>153</v>
      </c>
      <c r="B61" s="24" t="s">
        <v>152</v>
      </c>
      <c r="C61" s="24" t="s">
        <v>151</v>
      </c>
      <c r="D61" s="24" t="s">
        <v>32</v>
      </c>
      <c r="E61" s="24" t="s">
        <v>23</v>
      </c>
      <c r="F61" s="27" cm="1">
        <f t="array" ref="F61">_xlfn.IFS([1]Event_Data!F61="Workshop A",Assumptions!$F$3,[1]Event_Data!F61="Workshop B",Assumptions!$F$4,[1]Event_Data!$F61="Workshop C", Assumptions!$F$5,TRUE,Assumptions!$F$6)</f>
        <v>1116.010720618229</v>
      </c>
      <c r="G61" s="24" t="s">
        <v>41</v>
      </c>
      <c r="H61" s="26">
        <v>45113</v>
      </c>
    </row>
    <row r="62" spans="1:8" ht="14.25" customHeight="1" x14ac:dyDescent="0.3">
      <c r="A62" s="24" t="s">
        <v>150</v>
      </c>
      <c r="B62" s="24" t="s">
        <v>149</v>
      </c>
      <c r="C62" s="24" t="s">
        <v>148</v>
      </c>
      <c r="D62" s="24" t="s">
        <v>32</v>
      </c>
      <c r="E62" s="24" t="s">
        <v>37</v>
      </c>
      <c r="F62" s="27" cm="1">
        <f t="array" ref="F62">_xlfn.IFS([1]Event_Data!F62="Workshop A",Assumptions!$F$3,[1]Event_Data!F62="Workshop B",Assumptions!$F$4,[1]Event_Data!$F62="Workshop C", Assumptions!$F$5,TRUE,Assumptions!$F$6)</f>
        <v>956.58061767276774</v>
      </c>
      <c r="G62" s="24" t="s">
        <v>22</v>
      </c>
      <c r="H62" s="26">
        <v>44971</v>
      </c>
    </row>
    <row r="63" spans="1:8" ht="14.25" customHeight="1" x14ac:dyDescent="0.3">
      <c r="A63" s="24" t="s">
        <v>147</v>
      </c>
      <c r="B63" s="24" t="s">
        <v>146</v>
      </c>
      <c r="C63" s="24" t="s">
        <v>145</v>
      </c>
      <c r="D63" s="24" t="s">
        <v>32</v>
      </c>
      <c r="E63" s="24" t="s">
        <v>23</v>
      </c>
      <c r="F63" s="27" cm="1">
        <f t="array" ref="F63">_xlfn.IFS([1]Event_Data!F63="Workshop A",Assumptions!$F$3,[1]Event_Data!F63="Workshop B",Assumptions!$F$4,[1]Event_Data!$F63="Workshop C", Assumptions!$F$5,TRUE,Assumptions!$F$6)</f>
        <v>1116.010720618229</v>
      </c>
      <c r="G63" s="24" t="s">
        <v>36</v>
      </c>
      <c r="H63" s="26">
        <v>45437</v>
      </c>
    </row>
    <row r="64" spans="1:8" ht="14.25" customHeight="1" x14ac:dyDescent="0.3">
      <c r="A64" s="24" t="s">
        <v>144</v>
      </c>
      <c r="B64" s="24" t="s">
        <v>143</v>
      </c>
      <c r="C64" s="24" t="s">
        <v>142</v>
      </c>
      <c r="D64" s="24" t="s">
        <v>32</v>
      </c>
      <c r="E64" s="24" t="s">
        <v>37</v>
      </c>
      <c r="F64" s="27" cm="1">
        <f t="array" ref="F64">_xlfn.IFS([1]Event_Data!F64="Workshop A",Assumptions!$F$3,[1]Event_Data!F64="Workshop B",Assumptions!$F$4,[1]Event_Data!$F64="Workshop C", Assumptions!$F$5,TRUE,Assumptions!$F$6)</f>
        <v>1195.7257720909597</v>
      </c>
      <c r="G64" s="24" t="s">
        <v>41</v>
      </c>
      <c r="H64" s="26">
        <v>45391</v>
      </c>
    </row>
    <row r="65" spans="1:8" ht="14.25" customHeight="1" x14ac:dyDescent="0.3">
      <c r="A65" s="24" t="s">
        <v>141</v>
      </c>
      <c r="B65" s="24" t="s">
        <v>140</v>
      </c>
      <c r="C65" s="24" t="s">
        <v>139</v>
      </c>
      <c r="D65" s="24" t="s">
        <v>28</v>
      </c>
      <c r="E65" s="24" t="s">
        <v>23</v>
      </c>
      <c r="F65" s="27" cm="1">
        <f t="array" ref="F65">_xlfn.IFS([1]Event_Data!F65="Workshop A",Assumptions!$F$3,[1]Event_Data!F65="Workshop B",Assumptions!$F$4,[1]Event_Data!$F65="Workshop C", Assumptions!$F$5,TRUE,Assumptions!$F$6)</f>
        <v>1195.7257720909597</v>
      </c>
      <c r="G65" s="24" t="s">
        <v>41</v>
      </c>
      <c r="H65" s="26">
        <v>45518</v>
      </c>
    </row>
    <row r="66" spans="1:8" ht="14.25" customHeight="1" x14ac:dyDescent="0.3">
      <c r="A66" s="24" t="s">
        <v>138</v>
      </c>
      <c r="B66" s="24" t="s">
        <v>137</v>
      </c>
      <c r="C66" s="24" t="s">
        <v>136</v>
      </c>
      <c r="D66" s="24" t="s">
        <v>24</v>
      </c>
      <c r="E66" s="24" t="s">
        <v>37</v>
      </c>
      <c r="F66" s="27" cm="1">
        <f t="array" ref="F66">_xlfn.IFS([1]Event_Data!F66="Workshop A",Assumptions!$F$3,[1]Event_Data!F66="Workshop B",Assumptions!$F$4,[1]Event_Data!$F66="Workshop C", Assumptions!$F$5,TRUE,Assumptions!$F$6)</f>
        <v>1116.010720618229</v>
      </c>
      <c r="G66" s="24" t="s">
        <v>41</v>
      </c>
      <c r="H66" s="26">
        <v>45263</v>
      </c>
    </row>
    <row r="67" spans="1:8" ht="14.25" customHeight="1" x14ac:dyDescent="0.3">
      <c r="A67" s="24" t="s">
        <v>135</v>
      </c>
      <c r="B67" s="24" t="s">
        <v>134</v>
      </c>
      <c r="C67" s="24" t="s">
        <v>133</v>
      </c>
      <c r="D67" s="24" t="s">
        <v>28</v>
      </c>
      <c r="E67" s="24" t="s">
        <v>37</v>
      </c>
      <c r="F67" s="27" cm="1">
        <f t="array" ref="F67">_xlfn.IFS([1]Event_Data!F67="Workshop A",Assumptions!$F$3,[1]Event_Data!F67="Workshop B",Assumptions!$F$4,[1]Event_Data!$F67="Workshop C", Assumptions!$F$5,TRUE,Assumptions!$F$6)</f>
        <v>956.58061767276774</v>
      </c>
      <c r="G67" s="24" t="s">
        <v>51</v>
      </c>
      <c r="H67" s="26">
        <v>45133</v>
      </c>
    </row>
    <row r="68" spans="1:8" ht="14.25" customHeight="1" x14ac:dyDescent="0.3">
      <c r="A68" s="24" t="s">
        <v>132</v>
      </c>
      <c r="B68" s="24" t="s">
        <v>131</v>
      </c>
      <c r="C68" s="24" t="s">
        <v>130</v>
      </c>
      <c r="D68" s="24" t="s">
        <v>32</v>
      </c>
      <c r="E68" s="24" t="s">
        <v>37</v>
      </c>
      <c r="F68" s="27" cm="1">
        <f t="array" ref="F68">_xlfn.IFS([1]Event_Data!F68="Workshop A",Assumptions!$F$3,[1]Event_Data!F68="Workshop B",Assumptions!$F$4,[1]Event_Data!$F68="Workshop C", Assumptions!$F$5,TRUE,Assumptions!$F$6)</f>
        <v>1116.010720618229</v>
      </c>
      <c r="G68" s="24" t="s">
        <v>22</v>
      </c>
      <c r="H68" s="26">
        <v>44915</v>
      </c>
    </row>
    <row r="69" spans="1:8" ht="14.25" customHeight="1" x14ac:dyDescent="0.3">
      <c r="A69" s="24" t="s">
        <v>129</v>
      </c>
      <c r="B69" s="24" t="s">
        <v>128</v>
      </c>
      <c r="C69" s="24" t="s">
        <v>127</v>
      </c>
      <c r="D69" s="24" t="s">
        <v>24</v>
      </c>
      <c r="E69" s="24" t="s">
        <v>23</v>
      </c>
      <c r="F69" s="27" cm="1">
        <f t="array" ref="F69">_xlfn.IFS([1]Event_Data!F69="Workshop A",Assumptions!$F$3,[1]Event_Data!F69="Workshop B",Assumptions!$F$4,[1]Event_Data!$F69="Workshop C", Assumptions!$F$5,TRUE,Assumptions!$F$6)</f>
        <v>1076.1531948818638</v>
      </c>
      <c r="G69" s="24" t="s">
        <v>41</v>
      </c>
      <c r="H69" s="26">
        <v>45353</v>
      </c>
    </row>
    <row r="70" spans="1:8" ht="14.25" customHeight="1" x14ac:dyDescent="0.3">
      <c r="A70" s="24" t="s">
        <v>126</v>
      </c>
      <c r="B70" s="24" t="s">
        <v>125</v>
      </c>
      <c r="C70" s="24" t="s">
        <v>124</v>
      </c>
      <c r="D70" s="24" t="s">
        <v>24</v>
      </c>
      <c r="E70" s="24" t="s">
        <v>23</v>
      </c>
      <c r="F70" s="27" cm="1">
        <f t="array" ref="F70">_xlfn.IFS([1]Event_Data!F70="Workshop A",Assumptions!$F$3,[1]Event_Data!F70="Workshop B",Assumptions!$F$4,[1]Event_Data!$F70="Workshop C", Assumptions!$F$5,TRUE,Assumptions!$F$6)</f>
        <v>1076.1531948818638</v>
      </c>
      <c r="G70" s="24" t="s">
        <v>36</v>
      </c>
      <c r="H70" s="26">
        <v>45041</v>
      </c>
    </row>
    <row r="71" spans="1:8" ht="14.25" customHeight="1" x14ac:dyDescent="0.3">
      <c r="A71" s="24" t="s">
        <v>123</v>
      </c>
      <c r="B71" s="24" t="s">
        <v>122</v>
      </c>
      <c r="C71" s="24" t="s">
        <v>121</v>
      </c>
      <c r="D71" s="24" t="s">
        <v>28</v>
      </c>
      <c r="E71" s="24" t="s">
        <v>23</v>
      </c>
      <c r="F71" s="27" cm="1">
        <f t="array" ref="F71">_xlfn.IFS([1]Event_Data!F71="Workshop A",Assumptions!$F$3,[1]Event_Data!F71="Workshop B",Assumptions!$F$4,[1]Event_Data!$F71="Workshop C", Assumptions!$F$5,TRUE,Assumptions!$F$6)</f>
        <v>1116.010720618229</v>
      </c>
      <c r="G71" s="24" t="s">
        <v>51</v>
      </c>
      <c r="H71" s="26">
        <v>45315</v>
      </c>
    </row>
    <row r="72" spans="1:8" ht="14.25" customHeight="1" x14ac:dyDescent="0.3">
      <c r="A72" s="24" t="s">
        <v>120</v>
      </c>
      <c r="B72" s="24" t="s">
        <v>119</v>
      </c>
      <c r="C72" s="24" t="s">
        <v>118</v>
      </c>
      <c r="D72" s="24" t="s">
        <v>28</v>
      </c>
      <c r="E72" s="24" t="s">
        <v>23</v>
      </c>
      <c r="F72" s="27" cm="1">
        <f t="array" ref="F72">_xlfn.IFS([1]Event_Data!F72="Workshop A",Assumptions!$F$3,[1]Event_Data!F72="Workshop B",Assumptions!$F$4,[1]Event_Data!$F72="Workshop C", Assumptions!$F$5,TRUE,Assumptions!$F$6)</f>
        <v>956.58061767276774</v>
      </c>
      <c r="G72" s="24" t="s">
        <v>51</v>
      </c>
      <c r="H72" s="26">
        <v>45350</v>
      </c>
    </row>
    <row r="73" spans="1:8" ht="14.25" customHeight="1" x14ac:dyDescent="0.3">
      <c r="A73" s="24" t="s">
        <v>117</v>
      </c>
      <c r="B73" s="24" t="s">
        <v>116</v>
      </c>
      <c r="C73" s="24" t="s">
        <v>115</v>
      </c>
      <c r="D73" s="24" t="s">
        <v>24</v>
      </c>
      <c r="E73" s="24" t="s">
        <v>23</v>
      </c>
      <c r="F73" s="27" cm="1">
        <f t="array" ref="F73">_xlfn.IFS([1]Event_Data!F73="Workshop A",Assumptions!$F$3,[1]Event_Data!F73="Workshop B",Assumptions!$F$4,[1]Event_Data!$F73="Workshop C", Assumptions!$F$5,TRUE,Assumptions!$F$6)</f>
        <v>1116.010720618229</v>
      </c>
      <c r="G73" s="24" t="s">
        <v>36</v>
      </c>
      <c r="H73" s="26">
        <v>45048</v>
      </c>
    </row>
    <row r="74" spans="1:8" ht="14.25" customHeight="1" x14ac:dyDescent="0.3">
      <c r="A74" s="24" t="s">
        <v>114</v>
      </c>
      <c r="B74" s="24" t="s">
        <v>113</v>
      </c>
      <c r="C74" s="24" t="s">
        <v>112</v>
      </c>
      <c r="D74" s="24" t="s">
        <v>32</v>
      </c>
      <c r="E74" s="24" t="s">
        <v>23</v>
      </c>
      <c r="F74" s="27" cm="1">
        <f t="array" ref="F74">_xlfn.IFS([1]Event_Data!F74="Workshop A",Assumptions!$F$3,[1]Event_Data!F74="Workshop B",Assumptions!$F$4,[1]Event_Data!$F74="Workshop C", Assumptions!$F$5,TRUE,Assumptions!$F$6)</f>
        <v>956.58061767276774</v>
      </c>
      <c r="G74" s="24" t="s">
        <v>41</v>
      </c>
      <c r="H74" s="26">
        <v>45345</v>
      </c>
    </row>
    <row r="75" spans="1:8" ht="14.25" customHeight="1" x14ac:dyDescent="0.3">
      <c r="A75" s="24" t="s">
        <v>111</v>
      </c>
      <c r="B75" s="24" t="s">
        <v>110</v>
      </c>
      <c r="C75" s="24" t="s">
        <v>109</v>
      </c>
      <c r="D75" s="24" t="s">
        <v>28</v>
      </c>
      <c r="E75" s="24" t="s">
        <v>37</v>
      </c>
      <c r="F75" s="27" cm="1">
        <f t="array" ref="F75">_xlfn.IFS([1]Event_Data!F75="Workshop A",Assumptions!$F$3,[1]Event_Data!F75="Workshop B",Assumptions!$F$4,[1]Event_Data!$F75="Workshop C", Assumptions!$F$5,TRUE,Assumptions!$F$6)</f>
        <v>1195.7257720909597</v>
      </c>
      <c r="G75" s="24" t="s">
        <v>36</v>
      </c>
      <c r="H75" s="26">
        <v>44909</v>
      </c>
    </row>
    <row r="76" spans="1:8" ht="14.25" customHeight="1" x14ac:dyDescent="0.3">
      <c r="A76" s="24" t="s">
        <v>108</v>
      </c>
      <c r="B76" s="24" t="s">
        <v>107</v>
      </c>
      <c r="C76" s="24" t="s">
        <v>106</v>
      </c>
      <c r="D76" s="24" t="s">
        <v>32</v>
      </c>
      <c r="E76" s="24" t="s">
        <v>23</v>
      </c>
      <c r="F76" s="27" cm="1">
        <f t="array" ref="F76">_xlfn.IFS([1]Event_Data!F76="Workshop A",Assumptions!$F$3,[1]Event_Data!F76="Workshop B",Assumptions!$F$4,[1]Event_Data!$F76="Workshop C", Assumptions!$F$5,TRUE,Assumptions!$F$6)</f>
        <v>1195.7257720909597</v>
      </c>
      <c r="G76" s="24" t="s">
        <v>22</v>
      </c>
      <c r="H76" s="26">
        <v>45461</v>
      </c>
    </row>
    <row r="77" spans="1:8" ht="14.25" customHeight="1" x14ac:dyDescent="0.3">
      <c r="A77" s="24" t="s">
        <v>105</v>
      </c>
      <c r="B77" s="24" t="s">
        <v>104</v>
      </c>
      <c r="C77" s="24" t="s">
        <v>103</v>
      </c>
      <c r="D77" s="24" t="s">
        <v>28</v>
      </c>
      <c r="E77" s="24" t="s">
        <v>37</v>
      </c>
      <c r="F77" s="27" cm="1">
        <f t="array" ref="F77">_xlfn.IFS([1]Event_Data!F77="Workshop A",Assumptions!$F$3,[1]Event_Data!F77="Workshop B",Assumptions!$F$4,[1]Event_Data!$F77="Workshop C", Assumptions!$F$5,TRUE,Assumptions!$F$6)</f>
        <v>1116.010720618229</v>
      </c>
      <c r="G77" s="24" t="s">
        <v>51</v>
      </c>
      <c r="H77" s="26">
        <v>45019</v>
      </c>
    </row>
    <row r="78" spans="1:8" ht="14.25" customHeight="1" x14ac:dyDescent="0.3">
      <c r="A78" s="24" t="s">
        <v>102</v>
      </c>
      <c r="B78" s="24" t="s">
        <v>101</v>
      </c>
      <c r="C78" s="24" t="s">
        <v>100</v>
      </c>
      <c r="D78" s="24" t="s">
        <v>32</v>
      </c>
      <c r="E78" s="24" t="s">
        <v>37</v>
      </c>
      <c r="F78" s="27" cm="1">
        <f t="array" ref="F78">_xlfn.IFS([1]Event_Data!F78="Workshop A",Assumptions!$F$3,[1]Event_Data!F78="Workshop B",Assumptions!$F$4,[1]Event_Data!$F78="Workshop C", Assumptions!$F$5,TRUE,Assumptions!$F$6)</f>
        <v>956.58061767276774</v>
      </c>
      <c r="G78" s="24" t="s">
        <v>36</v>
      </c>
      <c r="H78" s="26">
        <v>45605</v>
      </c>
    </row>
    <row r="79" spans="1:8" ht="14.25" customHeight="1" x14ac:dyDescent="0.3">
      <c r="A79" s="24" t="s">
        <v>99</v>
      </c>
      <c r="B79" s="24" t="s">
        <v>98</v>
      </c>
      <c r="C79" s="24" t="s">
        <v>97</v>
      </c>
      <c r="D79" s="24" t="s">
        <v>28</v>
      </c>
      <c r="E79" s="24" t="s">
        <v>23</v>
      </c>
      <c r="F79" s="27" cm="1">
        <f t="array" ref="F79">_xlfn.IFS([1]Event_Data!F79="Workshop A",Assumptions!$F$3,[1]Event_Data!F79="Workshop B",Assumptions!$F$4,[1]Event_Data!$F79="Workshop C", Assumptions!$F$5,TRUE,Assumptions!$F$6)</f>
        <v>1116.010720618229</v>
      </c>
      <c r="G79" s="24" t="s">
        <v>51</v>
      </c>
      <c r="H79" s="26">
        <v>45399</v>
      </c>
    </row>
    <row r="80" spans="1:8" ht="14.25" customHeight="1" x14ac:dyDescent="0.3">
      <c r="A80" s="24" t="s">
        <v>96</v>
      </c>
      <c r="B80" s="24" t="s">
        <v>95</v>
      </c>
      <c r="C80" s="24" t="s">
        <v>94</v>
      </c>
      <c r="D80" s="24" t="s">
        <v>32</v>
      </c>
      <c r="E80" s="24" t="s">
        <v>37</v>
      </c>
      <c r="F80" s="27" cm="1">
        <f t="array" ref="F80">_xlfn.IFS([1]Event_Data!F80="Workshop A",Assumptions!$F$3,[1]Event_Data!F80="Workshop B",Assumptions!$F$4,[1]Event_Data!$F80="Workshop C", Assumptions!$F$5,TRUE,Assumptions!$F$6)</f>
        <v>1076.1531948818638</v>
      </c>
      <c r="G80" s="24" t="s">
        <v>41</v>
      </c>
      <c r="H80" s="26">
        <v>45072</v>
      </c>
    </row>
    <row r="81" spans="1:8" ht="14.25" customHeight="1" x14ac:dyDescent="0.3">
      <c r="A81" s="24" t="s">
        <v>93</v>
      </c>
      <c r="B81" s="24" t="s">
        <v>92</v>
      </c>
      <c r="C81" s="24" t="s">
        <v>91</v>
      </c>
      <c r="D81" s="24" t="s">
        <v>28</v>
      </c>
      <c r="E81" s="24" t="s">
        <v>23</v>
      </c>
      <c r="F81" s="27" cm="1">
        <f t="array" ref="F81">_xlfn.IFS([1]Event_Data!F81="Workshop A",Assumptions!$F$3,[1]Event_Data!F81="Workshop B",Assumptions!$F$4,[1]Event_Data!$F81="Workshop C", Assumptions!$F$5,TRUE,Assumptions!$F$6)</f>
        <v>1116.010720618229</v>
      </c>
      <c r="G81" s="24" t="s">
        <v>41</v>
      </c>
      <c r="H81" s="26">
        <v>44921</v>
      </c>
    </row>
    <row r="82" spans="1:8" ht="14.25" customHeight="1" x14ac:dyDescent="0.3">
      <c r="A82" s="24" t="s">
        <v>90</v>
      </c>
      <c r="B82" s="24" t="s">
        <v>89</v>
      </c>
      <c r="C82" s="24" t="s">
        <v>88</v>
      </c>
      <c r="D82" s="24" t="s">
        <v>28</v>
      </c>
      <c r="E82" s="24" t="s">
        <v>23</v>
      </c>
      <c r="F82" s="27" cm="1">
        <f t="array" ref="F82">_xlfn.IFS([1]Event_Data!F82="Workshop A",Assumptions!$F$3,[1]Event_Data!F82="Workshop B",Assumptions!$F$4,[1]Event_Data!$F82="Workshop C", Assumptions!$F$5,TRUE,Assumptions!$F$6)</f>
        <v>1076.1531948818638</v>
      </c>
      <c r="G82" s="24" t="s">
        <v>22</v>
      </c>
      <c r="H82" s="26">
        <v>44976</v>
      </c>
    </row>
    <row r="83" spans="1:8" ht="14.25" customHeight="1" x14ac:dyDescent="0.3">
      <c r="A83" s="24" t="s">
        <v>87</v>
      </c>
      <c r="B83" s="24" t="s">
        <v>86</v>
      </c>
      <c r="C83" s="24" t="s">
        <v>85</v>
      </c>
      <c r="D83" s="24" t="s">
        <v>28</v>
      </c>
      <c r="E83" s="24" t="s">
        <v>23</v>
      </c>
      <c r="F83" s="27" cm="1">
        <f t="array" ref="F83">_xlfn.IFS([1]Event_Data!F83="Workshop A",Assumptions!$F$3,[1]Event_Data!F83="Workshop B",Assumptions!$F$4,[1]Event_Data!$F83="Workshop C", Assumptions!$F$5,TRUE,Assumptions!$F$6)</f>
        <v>1116.010720618229</v>
      </c>
      <c r="G83" s="24" t="s">
        <v>22</v>
      </c>
      <c r="H83" s="26">
        <v>44878</v>
      </c>
    </row>
    <row r="84" spans="1:8" ht="14.25" customHeight="1" x14ac:dyDescent="0.3">
      <c r="A84" s="24" t="s">
        <v>84</v>
      </c>
      <c r="B84" s="24" t="s">
        <v>83</v>
      </c>
      <c r="C84" s="24" t="s">
        <v>82</v>
      </c>
      <c r="D84" s="24" t="s">
        <v>24</v>
      </c>
      <c r="E84" s="24" t="s">
        <v>23</v>
      </c>
      <c r="F84" s="27" cm="1">
        <f t="array" ref="F84">_xlfn.IFS([1]Event_Data!F84="Workshop A",Assumptions!$F$3,[1]Event_Data!F84="Workshop B",Assumptions!$F$4,[1]Event_Data!$F84="Workshop C", Assumptions!$F$5,TRUE,Assumptions!$F$6)</f>
        <v>1076.1531948818638</v>
      </c>
      <c r="G84" s="24" t="s">
        <v>22</v>
      </c>
      <c r="H84" s="26">
        <v>45526</v>
      </c>
    </row>
    <row r="85" spans="1:8" ht="14.25" customHeight="1" x14ac:dyDescent="0.3">
      <c r="A85" s="24" t="s">
        <v>81</v>
      </c>
      <c r="B85" s="24" t="s">
        <v>80</v>
      </c>
      <c r="C85" s="24" t="s">
        <v>79</v>
      </c>
      <c r="D85" s="24" t="s">
        <v>24</v>
      </c>
      <c r="E85" s="24" t="s">
        <v>37</v>
      </c>
      <c r="F85" s="27" cm="1">
        <f t="array" ref="F85">_xlfn.IFS([1]Event_Data!F85="Workshop A",Assumptions!$F$3,[1]Event_Data!F85="Workshop B",Assumptions!$F$4,[1]Event_Data!$F85="Workshop C", Assumptions!$F$5,TRUE,Assumptions!$F$6)</f>
        <v>1076.1531948818638</v>
      </c>
      <c r="G85" s="24" t="s">
        <v>41</v>
      </c>
      <c r="H85" s="26">
        <v>45459</v>
      </c>
    </row>
    <row r="86" spans="1:8" ht="14.25" customHeight="1" x14ac:dyDescent="0.3">
      <c r="A86" s="24" t="s">
        <v>78</v>
      </c>
      <c r="B86" s="24" t="s">
        <v>77</v>
      </c>
      <c r="C86" s="24" t="s">
        <v>76</v>
      </c>
      <c r="D86" s="24" t="s">
        <v>32</v>
      </c>
      <c r="E86" s="24" t="s">
        <v>23</v>
      </c>
      <c r="F86" s="27" cm="1">
        <f t="array" ref="F86">_xlfn.IFS([1]Event_Data!F86="Workshop A",Assumptions!$F$3,[1]Event_Data!F86="Workshop B",Assumptions!$F$4,[1]Event_Data!$F86="Workshop C", Assumptions!$F$5,TRUE,Assumptions!$F$6)</f>
        <v>1076.1531948818638</v>
      </c>
      <c r="G86" s="24" t="s">
        <v>51</v>
      </c>
      <c r="H86" s="26">
        <v>45588</v>
      </c>
    </row>
    <row r="87" spans="1:8" ht="14.25" customHeight="1" x14ac:dyDescent="0.3">
      <c r="A87" s="24" t="s">
        <v>75</v>
      </c>
      <c r="B87" s="24" t="s">
        <v>74</v>
      </c>
      <c r="C87" s="24" t="s">
        <v>73</v>
      </c>
      <c r="D87" s="24" t="s">
        <v>24</v>
      </c>
      <c r="E87" s="24" t="s">
        <v>37</v>
      </c>
      <c r="F87" s="27" cm="1">
        <f t="array" ref="F87">_xlfn.IFS([1]Event_Data!F87="Workshop A",Assumptions!$F$3,[1]Event_Data!F87="Workshop B",Assumptions!$F$4,[1]Event_Data!$F87="Workshop C", Assumptions!$F$5,TRUE,Assumptions!$F$6)</f>
        <v>1195.7257720909597</v>
      </c>
      <c r="G87" s="24" t="s">
        <v>41</v>
      </c>
      <c r="H87" s="26">
        <v>45581</v>
      </c>
    </row>
    <row r="88" spans="1:8" ht="14.25" customHeight="1" x14ac:dyDescent="0.3">
      <c r="A88" s="24" t="s">
        <v>72</v>
      </c>
      <c r="B88" s="24" t="s">
        <v>71</v>
      </c>
      <c r="C88" s="24" t="s">
        <v>70</v>
      </c>
      <c r="D88" s="24" t="s">
        <v>24</v>
      </c>
      <c r="E88" s="24" t="s">
        <v>23</v>
      </c>
      <c r="F88" s="27" cm="1">
        <f t="array" ref="F88">_xlfn.IFS([1]Event_Data!F88="Workshop A",Assumptions!$F$3,[1]Event_Data!F88="Workshop B",Assumptions!$F$4,[1]Event_Data!$F88="Workshop C", Assumptions!$F$5,TRUE,Assumptions!$F$6)</f>
        <v>1116.010720618229</v>
      </c>
      <c r="G88" s="24" t="s">
        <v>41</v>
      </c>
      <c r="H88" s="26">
        <v>45028</v>
      </c>
    </row>
    <row r="89" spans="1:8" ht="14.25" customHeight="1" x14ac:dyDescent="0.3">
      <c r="A89" s="24" t="s">
        <v>69</v>
      </c>
      <c r="B89" s="24" t="s">
        <v>68</v>
      </c>
      <c r="C89" s="24" t="s">
        <v>67</v>
      </c>
      <c r="D89" s="24" t="s">
        <v>28</v>
      </c>
      <c r="E89" s="24" t="s">
        <v>23</v>
      </c>
      <c r="F89" s="27" cm="1">
        <f t="array" ref="F89">_xlfn.IFS([1]Event_Data!F89="Workshop A",Assumptions!$F$3,[1]Event_Data!F89="Workshop B",Assumptions!$F$4,[1]Event_Data!$F89="Workshop C", Assumptions!$F$5,TRUE,Assumptions!$F$6)</f>
        <v>1195.7257720909597</v>
      </c>
      <c r="G89" s="24" t="s">
        <v>36</v>
      </c>
      <c r="H89" s="26">
        <v>45178</v>
      </c>
    </row>
    <row r="90" spans="1:8" ht="14.25" customHeight="1" x14ac:dyDescent="0.3">
      <c r="A90" s="24" t="s">
        <v>66</v>
      </c>
      <c r="B90" s="24" t="s">
        <v>65</v>
      </c>
      <c r="C90" s="24" t="s">
        <v>64</v>
      </c>
      <c r="D90" s="24" t="s">
        <v>28</v>
      </c>
      <c r="E90" s="24" t="s">
        <v>23</v>
      </c>
      <c r="F90" s="27" cm="1">
        <f t="array" ref="F90">_xlfn.IFS([1]Event_Data!F90="Workshop A",Assumptions!$F$3,[1]Event_Data!F90="Workshop B",Assumptions!$F$4,[1]Event_Data!$F90="Workshop C", Assumptions!$F$5,TRUE,Assumptions!$F$6)</f>
        <v>1116.010720618229</v>
      </c>
      <c r="G90" s="24" t="s">
        <v>22</v>
      </c>
      <c r="H90" s="26">
        <v>45471</v>
      </c>
    </row>
    <row r="91" spans="1:8" ht="14.25" customHeight="1" x14ac:dyDescent="0.3">
      <c r="A91" s="24" t="s">
        <v>63</v>
      </c>
      <c r="B91" s="24" t="s">
        <v>62</v>
      </c>
      <c r="C91" s="24" t="s">
        <v>61</v>
      </c>
      <c r="D91" s="24" t="s">
        <v>24</v>
      </c>
      <c r="E91" s="24" t="s">
        <v>37</v>
      </c>
      <c r="F91" s="27" cm="1">
        <f t="array" ref="F91">_xlfn.IFS([1]Event_Data!F91="Workshop A",Assumptions!$F$3,[1]Event_Data!F91="Workshop B",Assumptions!$F$4,[1]Event_Data!$F91="Workshop C", Assumptions!$F$5,TRUE,Assumptions!$F$6)</f>
        <v>1195.7257720909597</v>
      </c>
      <c r="G91" s="24" t="s">
        <v>22</v>
      </c>
      <c r="H91" s="26">
        <v>44943</v>
      </c>
    </row>
    <row r="92" spans="1:8" ht="14.25" customHeight="1" x14ac:dyDescent="0.3">
      <c r="A92" s="24" t="s">
        <v>60</v>
      </c>
      <c r="B92" s="24" t="s">
        <v>59</v>
      </c>
      <c r="C92" s="24" t="s">
        <v>58</v>
      </c>
      <c r="D92" s="24" t="s">
        <v>24</v>
      </c>
      <c r="E92" s="24" t="s">
        <v>23</v>
      </c>
      <c r="F92" s="27" cm="1">
        <f t="array" ref="F92">_xlfn.IFS([1]Event_Data!F92="Workshop A",Assumptions!$F$3,[1]Event_Data!F92="Workshop B",Assumptions!$F$4,[1]Event_Data!$F92="Workshop C", Assumptions!$F$5,TRUE,Assumptions!$F$6)</f>
        <v>1195.7257720909597</v>
      </c>
      <c r="G92" s="24" t="s">
        <v>41</v>
      </c>
      <c r="H92" s="26">
        <v>45233</v>
      </c>
    </row>
    <row r="93" spans="1:8" ht="14.25" customHeight="1" x14ac:dyDescent="0.3">
      <c r="A93" s="24" t="s">
        <v>57</v>
      </c>
      <c r="B93" s="24" t="s">
        <v>56</v>
      </c>
      <c r="C93" s="24" t="s">
        <v>55</v>
      </c>
      <c r="D93" s="24" t="s">
        <v>32</v>
      </c>
      <c r="E93" s="24" t="s">
        <v>23</v>
      </c>
      <c r="F93" s="27" cm="1">
        <f t="array" ref="F93">_xlfn.IFS([1]Event_Data!F93="Workshop A",Assumptions!$F$3,[1]Event_Data!F93="Workshop B",Assumptions!$F$4,[1]Event_Data!$F93="Workshop C", Assumptions!$F$5,TRUE,Assumptions!$F$6)</f>
        <v>1116.010720618229</v>
      </c>
      <c r="G93" s="24" t="s">
        <v>51</v>
      </c>
      <c r="H93" s="26">
        <v>45224</v>
      </c>
    </row>
    <row r="94" spans="1:8" ht="14.25" customHeight="1" x14ac:dyDescent="0.3">
      <c r="A94" s="24" t="s">
        <v>54</v>
      </c>
      <c r="B94" s="24" t="s">
        <v>53</v>
      </c>
      <c r="C94" s="24" t="s">
        <v>52</v>
      </c>
      <c r="D94" s="24" t="s">
        <v>32</v>
      </c>
      <c r="E94" s="24" t="s">
        <v>23</v>
      </c>
      <c r="F94" s="27" cm="1">
        <f t="array" ref="F94">_xlfn.IFS([1]Event_Data!F94="Workshop A",Assumptions!$F$3,[1]Event_Data!F94="Workshop B",Assumptions!$F$4,[1]Event_Data!$F94="Workshop C", Assumptions!$F$5,TRUE,Assumptions!$F$6)</f>
        <v>956.58061767276774</v>
      </c>
      <c r="G94" s="24" t="s">
        <v>51</v>
      </c>
      <c r="H94" s="26">
        <v>45571</v>
      </c>
    </row>
    <row r="95" spans="1:8" ht="14.25" customHeight="1" x14ac:dyDescent="0.3">
      <c r="A95" s="24" t="s">
        <v>50</v>
      </c>
      <c r="B95" s="24" t="s">
        <v>49</v>
      </c>
      <c r="C95" s="24" t="s">
        <v>48</v>
      </c>
      <c r="D95" s="24" t="s">
        <v>24</v>
      </c>
      <c r="E95" s="24" t="s">
        <v>23</v>
      </c>
      <c r="F95" s="27" cm="1">
        <f t="array" ref="F95">_xlfn.IFS([1]Event_Data!F95="Workshop A",Assumptions!$F$3,[1]Event_Data!F95="Workshop B",Assumptions!$F$4,[1]Event_Data!$F95="Workshop C", Assumptions!$F$5,TRUE,Assumptions!$F$6)</f>
        <v>1195.7257720909597</v>
      </c>
      <c r="G95" s="24" t="s">
        <v>36</v>
      </c>
      <c r="H95" s="26">
        <v>45350</v>
      </c>
    </row>
    <row r="96" spans="1:8" ht="14.25" customHeight="1" x14ac:dyDescent="0.3">
      <c r="A96" s="24" t="s">
        <v>47</v>
      </c>
      <c r="B96" s="24" t="s">
        <v>46</v>
      </c>
      <c r="C96" s="24" t="s">
        <v>45</v>
      </c>
      <c r="D96" s="24" t="s">
        <v>24</v>
      </c>
      <c r="E96" s="24" t="s">
        <v>37</v>
      </c>
      <c r="F96" s="27" cm="1">
        <f t="array" ref="F96">_xlfn.IFS([1]Event_Data!F96="Workshop A",Assumptions!$F$3,[1]Event_Data!F96="Workshop B",Assumptions!$F$4,[1]Event_Data!$F96="Workshop C", Assumptions!$F$5,TRUE,Assumptions!$F$6)</f>
        <v>956.58061767276774</v>
      </c>
      <c r="G96" s="24" t="s">
        <v>41</v>
      </c>
      <c r="H96" s="26">
        <v>45562</v>
      </c>
    </row>
    <row r="97" spans="1:8" ht="14.25" customHeight="1" x14ac:dyDescent="0.3">
      <c r="A97" s="24" t="s">
        <v>44</v>
      </c>
      <c r="B97" s="24" t="s">
        <v>43</v>
      </c>
      <c r="C97" s="24" t="s">
        <v>42</v>
      </c>
      <c r="D97" s="24" t="s">
        <v>28</v>
      </c>
      <c r="E97" s="24" t="s">
        <v>23</v>
      </c>
      <c r="F97" s="27" cm="1">
        <f t="array" ref="F97">_xlfn.IFS([1]Event_Data!F97="Workshop A",Assumptions!$F$3,[1]Event_Data!F97="Workshop B",Assumptions!$F$4,[1]Event_Data!$F97="Workshop C", Assumptions!$F$5,TRUE,Assumptions!$F$6)</f>
        <v>1195.7257720909597</v>
      </c>
      <c r="G97" s="24" t="s">
        <v>41</v>
      </c>
      <c r="H97" s="26">
        <v>45138</v>
      </c>
    </row>
    <row r="98" spans="1:8" ht="14.25" customHeight="1" x14ac:dyDescent="0.3">
      <c r="A98" s="24" t="s">
        <v>40</v>
      </c>
      <c r="B98" s="24" t="s">
        <v>39</v>
      </c>
      <c r="C98" s="24" t="s">
        <v>38</v>
      </c>
      <c r="D98" s="24" t="s">
        <v>32</v>
      </c>
      <c r="E98" s="24" t="s">
        <v>37</v>
      </c>
      <c r="F98" s="27" cm="1">
        <f t="array" ref="F98">_xlfn.IFS([1]Event_Data!F98="Workshop A",Assumptions!$F$3,[1]Event_Data!F98="Workshop B",Assumptions!$F$4,[1]Event_Data!$F98="Workshop C", Assumptions!$F$5,TRUE,Assumptions!$F$6)</f>
        <v>1116.010720618229</v>
      </c>
      <c r="G98" s="24" t="s">
        <v>36</v>
      </c>
      <c r="H98" s="26">
        <v>45101</v>
      </c>
    </row>
    <row r="99" spans="1:8" ht="14.25" customHeight="1" x14ac:dyDescent="0.3">
      <c r="A99" s="24" t="s">
        <v>35</v>
      </c>
      <c r="B99" s="24" t="s">
        <v>34</v>
      </c>
      <c r="C99" s="24" t="s">
        <v>33</v>
      </c>
      <c r="D99" s="24" t="s">
        <v>32</v>
      </c>
      <c r="E99" s="24" t="s">
        <v>23</v>
      </c>
      <c r="F99" s="27" cm="1">
        <f t="array" ref="F99">_xlfn.IFS([1]Event_Data!F99="Workshop A",Assumptions!$F$3,[1]Event_Data!F99="Workshop B",Assumptions!$F$4,[1]Event_Data!$F99="Workshop C", Assumptions!$F$5,TRUE,Assumptions!$F$6)</f>
        <v>956.58061767276774</v>
      </c>
      <c r="G99" s="24" t="s">
        <v>22</v>
      </c>
      <c r="H99" s="26">
        <v>45180</v>
      </c>
    </row>
    <row r="100" spans="1:8" ht="14.25" customHeight="1" x14ac:dyDescent="0.3">
      <c r="A100" s="24" t="s">
        <v>31</v>
      </c>
      <c r="B100" s="24" t="s">
        <v>30</v>
      </c>
      <c r="C100" s="24" t="s">
        <v>29</v>
      </c>
      <c r="D100" s="24" t="s">
        <v>28</v>
      </c>
      <c r="E100" s="24" t="s">
        <v>23</v>
      </c>
      <c r="F100" s="27" cm="1">
        <f t="array" ref="F100">_xlfn.IFS([1]Event_Data!F100="Workshop A",Assumptions!$F$3,[1]Event_Data!F100="Workshop B",Assumptions!$F$4,[1]Event_Data!$F100="Workshop C", Assumptions!$F$5,TRUE,Assumptions!$F$6)</f>
        <v>1195.7257720909597</v>
      </c>
      <c r="G100" s="24" t="s">
        <v>22</v>
      </c>
      <c r="H100" s="26">
        <v>45333</v>
      </c>
    </row>
    <row r="101" spans="1:8" ht="14.25" customHeight="1" x14ac:dyDescent="0.3">
      <c r="A101" s="24" t="s">
        <v>27</v>
      </c>
      <c r="B101" s="24" t="s">
        <v>26</v>
      </c>
      <c r="C101" s="24" t="s">
        <v>25</v>
      </c>
      <c r="D101" s="24" t="s">
        <v>24</v>
      </c>
      <c r="E101" s="24" t="s">
        <v>23</v>
      </c>
      <c r="F101" s="27" cm="1">
        <f t="array" ref="F101">_xlfn.IFS([1]Event_Data!F101="Workshop A",Assumptions!$F$3,[1]Event_Data!F101="Workshop B",Assumptions!$F$4,[1]Event_Data!$F101="Workshop C", Assumptions!$F$5,TRUE,Assumptions!$F$6)</f>
        <v>1195.7257720909597</v>
      </c>
      <c r="G101" s="24" t="s">
        <v>22</v>
      </c>
      <c r="H101" s="26">
        <v>45425</v>
      </c>
    </row>
    <row r="102" spans="1:8" ht="14.25" customHeight="1" x14ac:dyDescent="0.3">
      <c r="H102" s="25"/>
    </row>
    <row r="103" spans="1:8" ht="14.25" customHeight="1" x14ac:dyDescent="0.3"/>
    <row r="104" spans="1:8" ht="14.25" customHeight="1" x14ac:dyDescent="0.3"/>
    <row r="105" spans="1:8" ht="14.25" customHeight="1" x14ac:dyDescent="0.3"/>
    <row r="106" spans="1:8" ht="14.25" customHeight="1" x14ac:dyDescent="0.3"/>
    <row r="107" spans="1:8" ht="14.25" customHeight="1" x14ac:dyDescent="0.3"/>
    <row r="108" spans="1:8" ht="14.25" customHeight="1" x14ac:dyDescent="0.3"/>
    <row r="109" spans="1:8" ht="14.25" customHeight="1" x14ac:dyDescent="0.3"/>
    <row r="110" spans="1:8" ht="14.25" customHeight="1" x14ac:dyDescent="0.3"/>
    <row r="111" spans="1:8" ht="14.25" customHeight="1" x14ac:dyDescent="0.3"/>
    <row r="112" spans="1:8" ht="14.25" customHeight="1" x14ac:dyDescent="0.3"/>
    <row r="113" s="1" customFormat="1" ht="14.25" customHeight="1" x14ac:dyDescent="0.3"/>
    <row r="114" s="1" customFormat="1" ht="14.25" customHeight="1" x14ac:dyDescent="0.3"/>
    <row r="115" s="1" customFormat="1" ht="14.25" customHeight="1" x14ac:dyDescent="0.3"/>
    <row r="116" s="1" customFormat="1" ht="14.25" customHeight="1" x14ac:dyDescent="0.3"/>
    <row r="117" s="1" customFormat="1" ht="14.25" customHeight="1" x14ac:dyDescent="0.3"/>
    <row r="118" s="1" customFormat="1" ht="14.25" customHeight="1" x14ac:dyDescent="0.3"/>
    <row r="119" s="1" customFormat="1" ht="14.25" customHeight="1" x14ac:dyDescent="0.3"/>
    <row r="120" s="1" customFormat="1" ht="14.25" customHeight="1" x14ac:dyDescent="0.3"/>
    <row r="121" s="1" customFormat="1" ht="14.25" customHeight="1" x14ac:dyDescent="0.3"/>
    <row r="122" s="1" customFormat="1" ht="14.25" customHeight="1" x14ac:dyDescent="0.3"/>
    <row r="123" s="1" customFormat="1" ht="14.25" customHeight="1" x14ac:dyDescent="0.3"/>
    <row r="124" s="1" customFormat="1" ht="14.25" customHeight="1" x14ac:dyDescent="0.3"/>
    <row r="125" s="1" customFormat="1" ht="14.25" customHeight="1" x14ac:dyDescent="0.3"/>
    <row r="126" s="1" customFormat="1" ht="14.25" customHeight="1" x14ac:dyDescent="0.3"/>
    <row r="127" s="1" customFormat="1" ht="14.25" customHeight="1" x14ac:dyDescent="0.3"/>
    <row r="128" s="1" customFormat="1" ht="14.25" customHeight="1" x14ac:dyDescent="0.3"/>
    <row r="129" s="1" customFormat="1" ht="14.25" customHeight="1" x14ac:dyDescent="0.3"/>
    <row r="130" s="1" customFormat="1" ht="14.25" customHeight="1" x14ac:dyDescent="0.3"/>
    <row r="131" s="1" customFormat="1" ht="14.25" customHeight="1" x14ac:dyDescent="0.3"/>
    <row r="132" s="1" customFormat="1" ht="14.25" customHeight="1" x14ac:dyDescent="0.3"/>
    <row r="133" s="1" customFormat="1" ht="14.25" customHeight="1" x14ac:dyDescent="0.3"/>
    <row r="134" s="1" customFormat="1" ht="14.25" customHeight="1" x14ac:dyDescent="0.3"/>
    <row r="135" s="1" customFormat="1" ht="14.25" customHeight="1" x14ac:dyDescent="0.3"/>
    <row r="136" s="1" customFormat="1" ht="14.25" customHeight="1" x14ac:dyDescent="0.3"/>
    <row r="137" s="1" customFormat="1" ht="14.25" customHeight="1" x14ac:dyDescent="0.3"/>
    <row r="138" s="1" customFormat="1" ht="14.25" customHeight="1" x14ac:dyDescent="0.3"/>
    <row r="139" s="1" customFormat="1" ht="14.25" customHeight="1" x14ac:dyDescent="0.3"/>
    <row r="140" s="1" customFormat="1" ht="14.25" customHeight="1" x14ac:dyDescent="0.3"/>
    <row r="141" s="1" customFormat="1" ht="14.25" customHeight="1" x14ac:dyDescent="0.3"/>
    <row r="142" s="1" customFormat="1" ht="14.25" customHeight="1" x14ac:dyDescent="0.3"/>
    <row r="143" s="1" customFormat="1" ht="14.25" customHeight="1" x14ac:dyDescent="0.3"/>
    <row r="144" s="1" customFormat="1" ht="14.25" customHeight="1" x14ac:dyDescent="0.3"/>
    <row r="145" s="1" customFormat="1" ht="14.25" customHeight="1" x14ac:dyDescent="0.3"/>
    <row r="146" s="1" customFormat="1" ht="14.25" customHeight="1" x14ac:dyDescent="0.3"/>
    <row r="147" s="1" customFormat="1" ht="14.25" customHeight="1" x14ac:dyDescent="0.3"/>
    <row r="148" s="1" customFormat="1" ht="14.25" customHeight="1" x14ac:dyDescent="0.3"/>
    <row r="149" s="1" customFormat="1" ht="14.25" customHeight="1" x14ac:dyDescent="0.3"/>
    <row r="150" s="1" customFormat="1" ht="14.25" customHeight="1" x14ac:dyDescent="0.3"/>
    <row r="151" s="1" customFormat="1" ht="14.25" customHeight="1" x14ac:dyDescent="0.3"/>
    <row r="152" s="1" customFormat="1" ht="14.25" customHeight="1" x14ac:dyDescent="0.3"/>
    <row r="153" s="1" customFormat="1" ht="14.25" customHeight="1" x14ac:dyDescent="0.3"/>
    <row r="154" s="1" customFormat="1" ht="14.25" customHeight="1" x14ac:dyDescent="0.3"/>
    <row r="155" s="1" customFormat="1" ht="14.25" customHeight="1" x14ac:dyDescent="0.3"/>
    <row r="156" s="1" customFormat="1" ht="14.25" customHeight="1" x14ac:dyDescent="0.3"/>
    <row r="157" s="1" customFormat="1" ht="14.25" customHeight="1" x14ac:dyDescent="0.3"/>
    <row r="158" s="1" customFormat="1" ht="14.25" customHeight="1" x14ac:dyDescent="0.3"/>
    <row r="159" s="1" customFormat="1" ht="14.25" customHeight="1" x14ac:dyDescent="0.3"/>
    <row r="160" s="1" customFormat="1" ht="14.25" customHeight="1" x14ac:dyDescent="0.3"/>
    <row r="161" s="1" customFormat="1" ht="14.25" customHeight="1" x14ac:dyDescent="0.3"/>
    <row r="162" s="1" customFormat="1" ht="14.25" customHeight="1" x14ac:dyDescent="0.3"/>
    <row r="163" s="1" customFormat="1" ht="14.25" customHeight="1" x14ac:dyDescent="0.3"/>
    <row r="164" s="1" customFormat="1" ht="14.25" customHeight="1" x14ac:dyDescent="0.3"/>
    <row r="165" s="1" customFormat="1" ht="14.25" customHeight="1" x14ac:dyDescent="0.3"/>
    <row r="166" s="1" customFormat="1" ht="14.25" customHeight="1" x14ac:dyDescent="0.3"/>
    <row r="167" s="1" customFormat="1" ht="14.25" customHeight="1" x14ac:dyDescent="0.3"/>
    <row r="168" s="1" customFormat="1" ht="14.25" customHeight="1" x14ac:dyDescent="0.3"/>
    <row r="169" s="1" customFormat="1" ht="14.25" customHeight="1" x14ac:dyDescent="0.3"/>
    <row r="170" s="1" customFormat="1" ht="14.25" customHeight="1" x14ac:dyDescent="0.3"/>
    <row r="171" s="1" customFormat="1" ht="14.25" customHeight="1" x14ac:dyDescent="0.3"/>
    <row r="172" s="1" customFormat="1" ht="14.25" customHeight="1" x14ac:dyDescent="0.3"/>
    <row r="173" s="1" customFormat="1" ht="14.25" customHeight="1" x14ac:dyDescent="0.3"/>
    <row r="174" s="1" customFormat="1" ht="14.25" customHeight="1" x14ac:dyDescent="0.3"/>
    <row r="175" s="1" customFormat="1" ht="14.25" customHeight="1" x14ac:dyDescent="0.3"/>
    <row r="176" s="1" customFormat="1" ht="14.25" customHeight="1" x14ac:dyDescent="0.3"/>
    <row r="177" s="1" customFormat="1" ht="14.25" customHeight="1" x14ac:dyDescent="0.3"/>
    <row r="178" s="1" customFormat="1" ht="14.25" customHeight="1" x14ac:dyDescent="0.3"/>
    <row r="179" s="1" customFormat="1" ht="14.25" customHeight="1" x14ac:dyDescent="0.3"/>
    <row r="180" s="1" customFormat="1" ht="14.25" customHeight="1" x14ac:dyDescent="0.3"/>
    <row r="181" s="1" customFormat="1" ht="14.25" customHeight="1" x14ac:dyDescent="0.3"/>
    <row r="182" s="1" customFormat="1" ht="14.25" customHeight="1" x14ac:dyDescent="0.3"/>
    <row r="183" s="1" customFormat="1" ht="14.25" customHeight="1" x14ac:dyDescent="0.3"/>
    <row r="184" s="1" customFormat="1" ht="14.25" customHeight="1" x14ac:dyDescent="0.3"/>
    <row r="185" s="1" customFormat="1" ht="14.25" customHeight="1" x14ac:dyDescent="0.3"/>
    <row r="186" s="1" customFormat="1" ht="14.25" customHeight="1" x14ac:dyDescent="0.3"/>
    <row r="187" s="1" customFormat="1" ht="14.25" customHeight="1" x14ac:dyDescent="0.3"/>
    <row r="188" s="1" customFormat="1" ht="14.25" customHeight="1" x14ac:dyDescent="0.3"/>
    <row r="189" s="1" customFormat="1" ht="14.25" customHeight="1" x14ac:dyDescent="0.3"/>
    <row r="190" s="1" customFormat="1" ht="14.25" customHeight="1" x14ac:dyDescent="0.3"/>
    <row r="191" s="1" customFormat="1" ht="14.25" customHeight="1" x14ac:dyDescent="0.3"/>
    <row r="192" s="1" customFormat="1" ht="14.25" customHeight="1" x14ac:dyDescent="0.3"/>
    <row r="193" s="1" customFormat="1" ht="14.25" customHeight="1" x14ac:dyDescent="0.3"/>
    <row r="194" s="1" customFormat="1" ht="14.25" customHeight="1" x14ac:dyDescent="0.3"/>
    <row r="195" s="1" customFormat="1" ht="14.25" customHeight="1" x14ac:dyDescent="0.3"/>
    <row r="196" s="1" customFormat="1" ht="14.25" customHeight="1" x14ac:dyDescent="0.3"/>
    <row r="197" s="1" customFormat="1" ht="14.25" customHeight="1" x14ac:dyDescent="0.3"/>
    <row r="198" s="1" customFormat="1" ht="14.25" customHeight="1" x14ac:dyDescent="0.3"/>
    <row r="199" s="1" customFormat="1" ht="14.25" customHeight="1" x14ac:dyDescent="0.3"/>
    <row r="200" s="1" customFormat="1" ht="14.25" customHeight="1" x14ac:dyDescent="0.3"/>
    <row r="201" s="1" customFormat="1" ht="14.25" customHeight="1" x14ac:dyDescent="0.3"/>
    <row r="202" s="1" customFormat="1" ht="14.25" customHeight="1" x14ac:dyDescent="0.3"/>
    <row r="203" s="1" customFormat="1" ht="14.25" customHeight="1" x14ac:dyDescent="0.3"/>
    <row r="204" s="1" customFormat="1" ht="14.25" customHeight="1" x14ac:dyDescent="0.3"/>
    <row r="205" s="1" customFormat="1" ht="14.25" customHeight="1" x14ac:dyDescent="0.3"/>
    <row r="206" s="1" customFormat="1" ht="14.25" customHeight="1" x14ac:dyDescent="0.3"/>
    <row r="207" s="1" customFormat="1" ht="14.25" customHeight="1" x14ac:dyDescent="0.3"/>
    <row r="208" s="1" customFormat="1" ht="14.25" customHeight="1" x14ac:dyDescent="0.3"/>
    <row r="209" s="1" customFormat="1" ht="14.25" customHeight="1" x14ac:dyDescent="0.3"/>
    <row r="210" s="1" customFormat="1" ht="14.25" customHeight="1" x14ac:dyDescent="0.3"/>
    <row r="211" s="1" customFormat="1" ht="14.25" customHeight="1" x14ac:dyDescent="0.3"/>
    <row r="212" s="1" customFormat="1" ht="14.25" customHeight="1" x14ac:dyDescent="0.3"/>
    <row r="213" s="1" customFormat="1" ht="14.25" customHeight="1" x14ac:dyDescent="0.3"/>
    <row r="214" s="1" customFormat="1" ht="14.25" customHeight="1" x14ac:dyDescent="0.3"/>
    <row r="215" s="1" customFormat="1" ht="14.25" customHeight="1" x14ac:dyDescent="0.3"/>
    <row r="216" s="1" customFormat="1" ht="14.25" customHeight="1" x14ac:dyDescent="0.3"/>
    <row r="217" s="1" customFormat="1" ht="14.25" customHeight="1" x14ac:dyDescent="0.3"/>
    <row r="218" s="1" customFormat="1" ht="14.25" customHeight="1" x14ac:dyDescent="0.3"/>
    <row r="219" s="1" customFormat="1" ht="14.25" customHeight="1" x14ac:dyDescent="0.3"/>
    <row r="220" s="1" customFormat="1" ht="14.25" customHeight="1" x14ac:dyDescent="0.3"/>
    <row r="221" s="1" customFormat="1" ht="14.25" customHeight="1" x14ac:dyDescent="0.3"/>
    <row r="222" s="1" customFormat="1" ht="14.25" customHeight="1" x14ac:dyDescent="0.3"/>
    <row r="223" s="1" customFormat="1" ht="14.25" customHeight="1" x14ac:dyDescent="0.3"/>
    <row r="224" s="1" customFormat="1" ht="14.25" customHeight="1" x14ac:dyDescent="0.3"/>
    <row r="225" s="1" customFormat="1" ht="14.25" customHeight="1" x14ac:dyDescent="0.3"/>
    <row r="226" s="1" customFormat="1" ht="14.25" customHeight="1" x14ac:dyDescent="0.3"/>
    <row r="227" s="1" customFormat="1" ht="14.25" customHeight="1" x14ac:dyDescent="0.3"/>
    <row r="228" s="1" customFormat="1" ht="14.25" customHeight="1" x14ac:dyDescent="0.3"/>
    <row r="229" s="1" customFormat="1" ht="14.25" customHeight="1" x14ac:dyDescent="0.3"/>
    <row r="230" s="1" customFormat="1" ht="14.25" customHeight="1" x14ac:dyDescent="0.3"/>
    <row r="231" s="1" customFormat="1" ht="14.25" customHeight="1" x14ac:dyDescent="0.3"/>
    <row r="232" s="1" customFormat="1" ht="14.25" customHeight="1" x14ac:dyDescent="0.3"/>
    <row r="233" s="1" customFormat="1" ht="14.25" customHeight="1" x14ac:dyDescent="0.3"/>
    <row r="234" s="1" customFormat="1" ht="14.25" customHeight="1" x14ac:dyDescent="0.3"/>
    <row r="235" s="1" customFormat="1" ht="14.25" customHeight="1" x14ac:dyDescent="0.3"/>
    <row r="236" s="1" customFormat="1" ht="14.25" customHeight="1" x14ac:dyDescent="0.3"/>
    <row r="237" s="1" customFormat="1" ht="14.25" customHeight="1" x14ac:dyDescent="0.3"/>
    <row r="238" s="1" customFormat="1" ht="14.25" customHeight="1" x14ac:dyDescent="0.3"/>
    <row r="239" s="1" customFormat="1" ht="14.25" customHeight="1" x14ac:dyDescent="0.3"/>
    <row r="240" s="1" customFormat="1" ht="14.25" customHeight="1" x14ac:dyDescent="0.3"/>
    <row r="241" s="1" customFormat="1" ht="14.25" customHeight="1" x14ac:dyDescent="0.3"/>
    <row r="242" s="1" customFormat="1" ht="14.25" customHeight="1" x14ac:dyDescent="0.3"/>
    <row r="243" s="1" customFormat="1" ht="14.25" customHeight="1" x14ac:dyDescent="0.3"/>
    <row r="244" s="1" customFormat="1" ht="14.25" customHeight="1" x14ac:dyDescent="0.3"/>
    <row r="245" s="1" customFormat="1" ht="14.25" customHeight="1" x14ac:dyDescent="0.3"/>
    <row r="246" s="1" customFormat="1" ht="14.25" customHeight="1" x14ac:dyDescent="0.3"/>
    <row r="247" s="1" customFormat="1" ht="14.25" customHeight="1" x14ac:dyDescent="0.3"/>
    <row r="248" s="1" customFormat="1" ht="14.25" customHeight="1" x14ac:dyDescent="0.3"/>
    <row r="249" s="1" customFormat="1" ht="14.25" customHeight="1" x14ac:dyDescent="0.3"/>
    <row r="250" s="1" customFormat="1" ht="14.25" customHeight="1" x14ac:dyDescent="0.3"/>
    <row r="251" s="1" customFormat="1" ht="14.25" customHeight="1" x14ac:dyDescent="0.3"/>
    <row r="252" s="1" customFormat="1" ht="14.25" customHeight="1" x14ac:dyDescent="0.3"/>
    <row r="253" s="1" customFormat="1" ht="14.25" customHeight="1" x14ac:dyDescent="0.3"/>
    <row r="254" s="1" customFormat="1" ht="14.25" customHeight="1" x14ac:dyDescent="0.3"/>
    <row r="255" s="1" customFormat="1" ht="14.25" customHeight="1" x14ac:dyDescent="0.3"/>
    <row r="256" s="1" customFormat="1" ht="14.25" customHeight="1" x14ac:dyDescent="0.3"/>
    <row r="257" s="1" customFormat="1" ht="14.25" customHeight="1" x14ac:dyDescent="0.3"/>
    <row r="258" s="1" customFormat="1" ht="14.25" customHeight="1" x14ac:dyDescent="0.3"/>
    <row r="259" s="1" customFormat="1" ht="14.25" customHeight="1" x14ac:dyDescent="0.3"/>
    <row r="260" s="1" customFormat="1" ht="14.25" customHeight="1" x14ac:dyDescent="0.3"/>
    <row r="261" s="1" customFormat="1" ht="14.25" customHeight="1" x14ac:dyDescent="0.3"/>
    <row r="262" s="1" customFormat="1" ht="14.25" customHeight="1" x14ac:dyDescent="0.3"/>
    <row r="263" s="1" customFormat="1" ht="14.25" customHeight="1" x14ac:dyDescent="0.3"/>
    <row r="264" s="1" customFormat="1" ht="14.25" customHeight="1" x14ac:dyDescent="0.3"/>
    <row r="265" s="1" customFormat="1" ht="14.25" customHeight="1" x14ac:dyDescent="0.3"/>
    <row r="266" s="1" customFormat="1" ht="14.25" customHeight="1" x14ac:dyDescent="0.3"/>
    <row r="267" s="1" customFormat="1" ht="14.25" customHeight="1" x14ac:dyDescent="0.3"/>
    <row r="268" s="1" customFormat="1" ht="14.25" customHeight="1" x14ac:dyDescent="0.3"/>
    <row r="269" s="1" customFormat="1" ht="14.25" customHeight="1" x14ac:dyDescent="0.3"/>
    <row r="270" s="1" customFormat="1" ht="14.25" customHeight="1" x14ac:dyDescent="0.3"/>
    <row r="271" s="1" customFormat="1" ht="14.25" customHeight="1" x14ac:dyDescent="0.3"/>
    <row r="272" s="1" customFormat="1" ht="14.25" customHeight="1" x14ac:dyDescent="0.3"/>
    <row r="273" s="1" customFormat="1" ht="14.25" customHeight="1" x14ac:dyDescent="0.3"/>
    <row r="274" s="1" customFormat="1" ht="14.25" customHeight="1" x14ac:dyDescent="0.3"/>
    <row r="275" s="1" customFormat="1" ht="14.25" customHeight="1" x14ac:dyDescent="0.3"/>
    <row r="276" s="1" customFormat="1" ht="14.25" customHeight="1" x14ac:dyDescent="0.3"/>
    <row r="277" s="1" customFormat="1" ht="14.25" customHeight="1" x14ac:dyDescent="0.3"/>
    <row r="278" s="1" customFormat="1" ht="14.25" customHeight="1" x14ac:dyDescent="0.3"/>
    <row r="279" s="1" customFormat="1" ht="14.25" customHeight="1" x14ac:dyDescent="0.3"/>
    <row r="280" s="1" customFormat="1" ht="14.25" customHeight="1" x14ac:dyDescent="0.3"/>
    <row r="281" s="1" customFormat="1" ht="14.25" customHeight="1" x14ac:dyDescent="0.3"/>
    <row r="282" s="1" customFormat="1" ht="14.25" customHeight="1" x14ac:dyDescent="0.3"/>
    <row r="283" s="1" customFormat="1" ht="14.25" customHeight="1" x14ac:dyDescent="0.3"/>
    <row r="284" s="1" customFormat="1" ht="14.25" customHeight="1" x14ac:dyDescent="0.3"/>
    <row r="285" s="1" customFormat="1" ht="14.25" customHeight="1" x14ac:dyDescent="0.3"/>
    <row r="286" s="1" customFormat="1" ht="14.25" customHeight="1" x14ac:dyDescent="0.3"/>
    <row r="287" s="1" customFormat="1" ht="14.25" customHeight="1" x14ac:dyDescent="0.3"/>
    <row r="288" s="1" customFormat="1" ht="14.25" customHeight="1" x14ac:dyDescent="0.3"/>
    <row r="289" s="1" customFormat="1" ht="14.25" customHeight="1" x14ac:dyDescent="0.3"/>
    <row r="290" s="1" customFormat="1" ht="14.25" customHeight="1" x14ac:dyDescent="0.3"/>
    <row r="291" s="1" customFormat="1" ht="14.25" customHeight="1" x14ac:dyDescent="0.3"/>
    <row r="292" s="1" customFormat="1" ht="14.25" customHeight="1" x14ac:dyDescent="0.3"/>
    <row r="293" s="1" customFormat="1" ht="14.25" customHeight="1" x14ac:dyDescent="0.3"/>
    <row r="294" s="1" customFormat="1" ht="14.25" customHeight="1" x14ac:dyDescent="0.3"/>
    <row r="295" s="1" customFormat="1" ht="14.25" customHeight="1" x14ac:dyDescent="0.3"/>
    <row r="296" s="1" customFormat="1" ht="14.25" customHeight="1" x14ac:dyDescent="0.3"/>
    <row r="297" s="1" customFormat="1" ht="14.25" customHeight="1" x14ac:dyDescent="0.3"/>
    <row r="298" s="1" customFormat="1" ht="14.25" customHeight="1" x14ac:dyDescent="0.3"/>
    <row r="299" s="1" customFormat="1" ht="14.25" customHeight="1" x14ac:dyDescent="0.3"/>
    <row r="300" s="1" customFormat="1" ht="14.25" customHeight="1" x14ac:dyDescent="0.3"/>
    <row r="301" s="1" customFormat="1" ht="14.25" customHeight="1" x14ac:dyDescent="0.3"/>
    <row r="302" s="1" customFormat="1" ht="14.25" customHeight="1" x14ac:dyDescent="0.3"/>
    <row r="303" s="1" customFormat="1" ht="14.25" customHeight="1" x14ac:dyDescent="0.3"/>
    <row r="304" s="1" customFormat="1" ht="14.25" customHeight="1" x14ac:dyDescent="0.3"/>
    <row r="305" s="1" customFormat="1" ht="14.25" customHeight="1" x14ac:dyDescent="0.3"/>
    <row r="306" s="1" customFormat="1" ht="14.25" customHeight="1" x14ac:dyDescent="0.3"/>
    <row r="307" s="1" customFormat="1" ht="14.25" customHeight="1" x14ac:dyDescent="0.3"/>
    <row r="308" s="1" customFormat="1" ht="14.25" customHeight="1" x14ac:dyDescent="0.3"/>
    <row r="309" s="1" customFormat="1" ht="14.25" customHeight="1" x14ac:dyDescent="0.3"/>
    <row r="310" s="1" customFormat="1" ht="14.25" customHeight="1" x14ac:dyDescent="0.3"/>
    <row r="311" s="1" customFormat="1" ht="14.25" customHeight="1" x14ac:dyDescent="0.3"/>
    <row r="312" s="1" customFormat="1" ht="14.25" customHeight="1" x14ac:dyDescent="0.3"/>
    <row r="313" s="1" customFormat="1" ht="14.25" customHeight="1" x14ac:dyDescent="0.3"/>
    <row r="314" s="1" customFormat="1" ht="14.25" customHeight="1" x14ac:dyDescent="0.3"/>
    <row r="315" s="1" customFormat="1" ht="14.25" customHeight="1" x14ac:dyDescent="0.3"/>
    <row r="316" s="1" customFormat="1" ht="14.25" customHeight="1" x14ac:dyDescent="0.3"/>
    <row r="317" s="1" customFormat="1" ht="14.25" customHeight="1" x14ac:dyDescent="0.3"/>
    <row r="318" s="1" customFormat="1" ht="14.25" customHeight="1" x14ac:dyDescent="0.3"/>
    <row r="319" s="1" customFormat="1" ht="14.25" customHeight="1" x14ac:dyDescent="0.3"/>
    <row r="320" s="1" customFormat="1" ht="14.25" customHeight="1" x14ac:dyDescent="0.3"/>
    <row r="321" s="1" customFormat="1" ht="14.25" customHeight="1" x14ac:dyDescent="0.3"/>
    <row r="322" s="1" customFormat="1" ht="14.25" customHeight="1" x14ac:dyDescent="0.3"/>
    <row r="323" s="1" customFormat="1" ht="14.25" customHeight="1" x14ac:dyDescent="0.3"/>
    <row r="324" s="1" customFormat="1" ht="14.25" customHeight="1" x14ac:dyDescent="0.3"/>
    <row r="325" s="1" customFormat="1" ht="14.25" customHeight="1" x14ac:dyDescent="0.3"/>
    <row r="326" s="1" customFormat="1" ht="14.25" customHeight="1" x14ac:dyDescent="0.3"/>
    <row r="327" s="1" customFormat="1" ht="14.25" customHeight="1" x14ac:dyDescent="0.3"/>
    <row r="328" s="1" customFormat="1" ht="14.25" customHeight="1" x14ac:dyDescent="0.3"/>
    <row r="329" s="1" customFormat="1" ht="14.25" customHeight="1" x14ac:dyDescent="0.3"/>
    <row r="330" s="1" customFormat="1" ht="14.25" customHeight="1" x14ac:dyDescent="0.3"/>
    <row r="331" s="1" customFormat="1" ht="14.25" customHeight="1" x14ac:dyDescent="0.3"/>
    <row r="332" s="1" customFormat="1" ht="14.25" customHeight="1" x14ac:dyDescent="0.3"/>
    <row r="333" s="1" customFormat="1" ht="14.25" customHeight="1" x14ac:dyDescent="0.3"/>
    <row r="334" s="1" customFormat="1" ht="14.25" customHeight="1" x14ac:dyDescent="0.3"/>
    <row r="335" s="1" customFormat="1" ht="14.25" customHeight="1" x14ac:dyDescent="0.3"/>
    <row r="336" s="1" customFormat="1" ht="14.25" customHeight="1" x14ac:dyDescent="0.3"/>
    <row r="337" s="1" customFormat="1" ht="14.25" customHeight="1" x14ac:dyDescent="0.3"/>
    <row r="338" s="1" customFormat="1" ht="14.25" customHeight="1" x14ac:dyDescent="0.3"/>
    <row r="339" s="1" customFormat="1" ht="14.25" customHeight="1" x14ac:dyDescent="0.3"/>
    <row r="340" s="1" customFormat="1" ht="14.25" customHeight="1" x14ac:dyDescent="0.3"/>
    <row r="341" s="1" customFormat="1" ht="14.25" customHeight="1" x14ac:dyDescent="0.3"/>
    <row r="342" s="1" customFormat="1" ht="14.25" customHeight="1" x14ac:dyDescent="0.3"/>
    <row r="343" s="1" customFormat="1" ht="14.25" customHeight="1" x14ac:dyDescent="0.3"/>
    <row r="344" s="1" customFormat="1" ht="14.25" customHeight="1" x14ac:dyDescent="0.3"/>
    <row r="345" s="1" customFormat="1" ht="14.25" customHeight="1" x14ac:dyDescent="0.3"/>
    <row r="346" s="1" customFormat="1" ht="14.25" customHeight="1" x14ac:dyDescent="0.3"/>
    <row r="347" s="1" customFormat="1" ht="14.25" customHeight="1" x14ac:dyDescent="0.3"/>
    <row r="348" s="1" customFormat="1" ht="14.25" customHeight="1" x14ac:dyDescent="0.3"/>
    <row r="349" s="1" customFormat="1" ht="14.25" customHeight="1" x14ac:dyDescent="0.3"/>
    <row r="350" s="1" customFormat="1" ht="14.25" customHeight="1" x14ac:dyDescent="0.3"/>
    <row r="351" s="1" customFormat="1" ht="14.25" customHeight="1" x14ac:dyDescent="0.3"/>
    <row r="352" s="1" customFormat="1" ht="14.25" customHeight="1" x14ac:dyDescent="0.3"/>
    <row r="353" s="1" customFormat="1" ht="14.25" customHeight="1" x14ac:dyDescent="0.3"/>
    <row r="354" s="1" customFormat="1" ht="14.25" customHeight="1" x14ac:dyDescent="0.3"/>
    <row r="355" s="1" customFormat="1" ht="14.25" customHeight="1" x14ac:dyDescent="0.3"/>
    <row r="356" s="1" customFormat="1" ht="14.25" customHeight="1" x14ac:dyDescent="0.3"/>
    <row r="357" s="1" customFormat="1" ht="14.25" customHeight="1" x14ac:dyDescent="0.3"/>
    <row r="358" s="1" customFormat="1" ht="14.25" customHeight="1" x14ac:dyDescent="0.3"/>
    <row r="359" s="1" customFormat="1" ht="14.25" customHeight="1" x14ac:dyDescent="0.3"/>
    <row r="360" s="1" customFormat="1" ht="14.25" customHeight="1" x14ac:dyDescent="0.3"/>
    <row r="361" s="1" customFormat="1" ht="14.25" customHeight="1" x14ac:dyDescent="0.3"/>
    <row r="362" s="1" customFormat="1" ht="14.25" customHeight="1" x14ac:dyDescent="0.3"/>
    <row r="363" s="1" customFormat="1" ht="14.25" customHeight="1" x14ac:dyDescent="0.3"/>
    <row r="364" s="1" customFormat="1" ht="14.25" customHeight="1" x14ac:dyDescent="0.3"/>
    <row r="365" s="1" customFormat="1" ht="14.25" customHeight="1" x14ac:dyDescent="0.3"/>
    <row r="366" s="1" customFormat="1" ht="14.25" customHeight="1" x14ac:dyDescent="0.3"/>
    <row r="367" s="1" customFormat="1" ht="14.25" customHeight="1" x14ac:dyDescent="0.3"/>
    <row r="368" s="1" customFormat="1" ht="14.25" customHeight="1" x14ac:dyDescent="0.3"/>
    <row r="369" s="1" customFormat="1" ht="14.25" customHeight="1" x14ac:dyDescent="0.3"/>
    <row r="370" s="1" customFormat="1" ht="14.25" customHeight="1" x14ac:dyDescent="0.3"/>
    <row r="371" s="1" customFormat="1" ht="14.25" customHeight="1" x14ac:dyDescent="0.3"/>
    <row r="372" s="1" customFormat="1" ht="14.25" customHeight="1" x14ac:dyDescent="0.3"/>
    <row r="373" s="1" customFormat="1" ht="14.25" customHeight="1" x14ac:dyDescent="0.3"/>
    <row r="374" s="1" customFormat="1" ht="14.25" customHeight="1" x14ac:dyDescent="0.3"/>
    <row r="375" s="1" customFormat="1" ht="14.25" customHeight="1" x14ac:dyDescent="0.3"/>
    <row r="376" s="1" customFormat="1" ht="14.25" customHeight="1" x14ac:dyDescent="0.3"/>
    <row r="377" s="1" customFormat="1" ht="14.25" customHeight="1" x14ac:dyDescent="0.3"/>
    <row r="378" s="1" customFormat="1" ht="14.25" customHeight="1" x14ac:dyDescent="0.3"/>
    <row r="379" s="1" customFormat="1" ht="14.25" customHeight="1" x14ac:dyDescent="0.3"/>
    <row r="380" s="1" customFormat="1" ht="14.25" customHeight="1" x14ac:dyDescent="0.3"/>
    <row r="381" s="1" customFormat="1" ht="14.25" customHeight="1" x14ac:dyDescent="0.3"/>
    <row r="382" s="1" customFormat="1" ht="14.25" customHeight="1" x14ac:dyDescent="0.3"/>
    <row r="383" s="1" customFormat="1" ht="14.25" customHeight="1" x14ac:dyDescent="0.3"/>
    <row r="384" s="1" customFormat="1" ht="14.25" customHeight="1" x14ac:dyDescent="0.3"/>
    <row r="385" s="1" customFormat="1" ht="14.25" customHeight="1" x14ac:dyDescent="0.3"/>
    <row r="386" s="1" customFormat="1" ht="14.25" customHeight="1" x14ac:dyDescent="0.3"/>
    <row r="387" s="1" customFormat="1" ht="14.25" customHeight="1" x14ac:dyDescent="0.3"/>
    <row r="388" s="1" customFormat="1" ht="14.25" customHeight="1" x14ac:dyDescent="0.3"/>
    <row r="389" s="1" customFormat="1" ht="14.25" customHeight="1" x14ac:dyDescent="0.3"/>
    <row r="390" s="1" customFormat="1" ht="14.25" customHeight="1" x14ac:dyDescent="0.3"/>
    <row r="391" s="1" customFormat="1" ht="14.25" customHeight="1" x14ac:dyDescent="0.3"/>
    <row r="392" s="1" customFormat="1" ht="14.25" customHeight="1" x14ac:dyDescent="0.3"/>
    <row r="393" s="1" customFormat="1" ht="14.25" customHeight="1" x14ac:dyDescent="0.3"/>
    <row r="394" s="1" customFormat="1" ht="14.25" customHeight="1" x14ac:dyDescent="0.3"/>
    <row r="395" s="1" customFormat="1" ht="14.25" customHeight="1" x14ac:dyDescent="0.3"/>
    <row r="396" s="1" customFormat="1" ht="14.25" customHeight="1" x14ac:dyDescent="0.3"/>
    <row r="397" s="1" customFormat="1" ht="14.25" customHeight="1" x14ac:dyDescent="0.3"/>
    <row r="398" s="1" customFormat="1" ht="14.25" customHeight="1" x14ac:dyDescent="0.3"/>
    <row r="399" s="1" customFormat="1" ht="14.25" customHeight="1" x14ac:dyDescent="0.3"/>
    <row r="400" s="1" customFormat="1" ht="14.25" customHeight="1" x14ac:dyDescent="0.3"/>
    <row r="401" s="1" customFormat="1" ht="14.25" customHeight="1" x14ac:dyDescent="0.3"/>
    <row r="402" s="1" customFormat="1" ht="14.25" customHeight="1" x14ac:dyDescent="0.3"/>
    <row r="403" s="1" customFormat="1" ht="14.25" customHeight="1" x14ac:dyDescent="0.3"/>
    <row r="404" s="1" customFormat="1" ht="14.25" customHeight="1" x14ac:dyDescent="0.3"/>
    <row r="405" s="1" customFormat="1" ht="14.25" customHeight="1" x14ac:dyDescent="0.3"/>
    <row r="406" s="1" customFormat="1" ht="14.25" customHeight="1" x14ac:dyDescent="0.3"/>
    <row r="407" s="1" customFormat="1" ht="14.25" customHeight="1" x14ac:dyDescent="0.3"/>
    <row r="408" s="1" customFormat="1" ht="14.25" customHeight="1" x14ac:dyDescent="0.3"/>
    <row r="409" s="1" customFormat="1" ht="14.25" customHeight="1" x14ac:dyDescent="0.3"/>
    <row r="410" s="1" customFormat="1" ht="14.25" customHeight="1" x14ac:dyDescent="0.3"/>
    <row r="411" s="1" customFormat="1" ht="14.25" customHeight="1" x14ac:dyDescent="0.3"/>
    <row r="412" s="1" customFormat="1" ht="14.25" customHeight="1" x14ac:dyDescent="0.3"/>
    <row r="413" s="1" customFormat="1" ht="14.25" customHeight="1" x14ac:dyDescent="0.3"/>
    <row r="414" s="1" customFormat="1" ht="14.25" customHeight="1" x14ac:dyDescent="0.3"/>
    <row r="415" s="1" customFormat="1" ht="14.25" customHeight="1" x14ac:dyDescent="0.3"/>
    <row r="416" s="1" customFormat="1" ht="14.25" customHeight="1" x14ac:dyDescent="0.3"/>
    <row r="417" s="1" customFormat="1" ht="14.25" customHeight="1" x14ac:dyDescent="0.3"/>
    <row r="418" s="1" customFormat="1" ht="14.25" customHeight="1" x14ac:dyDescent="0.3"/>
    <row r="419" s="1" customFormat="1" ht="14.25" customHeight="1" x14ac:dyDescent="0.3"/>
    <row r="420" s="1" customFormat="1" ht="14.25" customHeight="1" x14ac:dyDescent="0.3"/>
    <row r="421" s="1" customFormat="1" ht="14.25" customHeight="1" x14ac:dyDescent="0.3"/>
    <row r="422" s="1" customFormat="1" ht="14.25" customHeight="1" x14ac:dyDescent="0.3"/>
    <row r="423" s="1" customFormat="1" ht="14.25" customHeight="1" x14ac:dyDescent="0.3"/>
    <row r="424" s="1" customFormat="1" ht="14.25" customHeight="1" x14ac:dyDescent="0.3"/>
    <row r="425" s="1" customFormat="1" ht="14.25" customHeight="1" x14ac:dyDescent="0.3"/>
    <row r="426" s="1" customFormat="1" ht="14.25" customHeight="1" x14ac:dyDescent="0.3"/>
    <row r="427" s="1" customFormat="1" ht="14.25" customHeight="1" x14ac:dyDescent="0.3"/>
    <row r="428" s="1" customFormat="1" ht="14.25" customHeight="1" x14ac:dyDescent="0.3"/>
    <row r="429" s="1" customFormat="1" ht="14.25" customHeight="1" x14ac:dyDescent="0.3"/>
    <row r="430" s="1" customFormat="1" ht="14.25" customHeight="1" x14ac:dyDescent="0.3"/>
    <row r="431" s="1" customFormat="1" ht="14.25" customHeight="1" x14ac:dyDescent="0.3"/>
    <row r="432" s="1" customFormat="1" ht="14.25" customHeight="1" x14ac:dyDescent="0.3"/>
    <row r="433" s="1" customFormat="1" ht="14.25" customHeight="1" x14ac:dyDescent="0.3"/>
    <row r="434" s="1" customFormat="1" ht="14.25" customHeight="1" x14ac:dyDescent="0.3"/>
    <row r="435" s="1" customFormat="1" ht="14.25" customHeight="1" x14ac:dyDescent="0.3"/>
    <row r="436" s="1" customFormat="1" ht="14.25" customHeight="1" x14ac:dyDescent="0.3"/>
    <row r="437" s="1" customFormat="1" ht="14.25" customHeight="1" x14ac:dyDescent="0.3"/>
    <row r="438" s="1" customFormat="1" ht="14.25" customHeight="1" x14ac:dyDescent="0.3"/>
    <row r="439" s="1" customFormat="1" ht="14.25" customHeight="1" x14ac:dyDescent="0.3"/>
    <row r="440" s="1" customFormat="1" ht="14.25" customHeight="1" x14ac:dyDescent="0.3"/>
    <row r="441" s="1" customFormat="1" ht="14.25" customHeight="1" x14ac:dyDescent="0.3"/>
    <row r="442" s="1" customFormat="1" ht="14.25" customHeight="1" x14ac:dyDescent="0.3"/>
    <row r="443" s="1" customFormat="1" ht="14.25" customHeight="1" x14ac:dyDescent="0.3"/>
    <row r="444" s="1" customFormat="1" ht="14.25" customHeight="1" x14ac:dyDescent="0.3"/>
    <row r="445" s="1" customFormat="1" ht="14.25" customHeight="1" x14ac:dyDescent="0.3"/>
    <row r="446" s="1" customFormat="1" ht="14.25" customHeight="1" x14ac:dyDescent="0.3"/>
    <row r="447" s="1" customFormat="1" ht="14.25" customHeight="1" x14ac:dyDescent="0.3"/>
    <row r="448" s="1" customFormat="1" ht="14.25" customHeight="1" x14ac:dyDescent="0.3"/>
    <row r="449" s="1" customFormat="1" ht="14.25" customHeight="1" x14ac:dyDescent="0.3"/>
    <row r="450" s="1" customFormat="1" ht="14.25" customHeight="1" x14ac:dyDescent="0.3"/>
    <row r="451" s="1" customFormat="1" ht="14.25" customHeight="1" x14ac:dyDescent="0.3"/>
    <row r="452" s="1" customFormat="1" ht="14.25" customHeight="1" x14ac:dyDescent="0.3"/>
    <row r="453" s="1" customFormat="1" ht="14.25" customHeight="1" x14ac:dyDescent="0.3"/>
    <row r="454" s="1" customFormat="1" ht="14.25" customHeight="1" x14ac:dyDescent="0.3"/>
    <row r="455" s="1" customFormat="1" ht="14.25" customHeight="1" x14ac:dyDescent="0.3"/>
    <row r="456" s="1" customFormat="1" ht="14.25" customHeight="1" x14ac:dyDescent="0.3"/>
    <row r="457" s="1" customFormat="1" ht="14.25" customHeight="1" x14ac:dyDescent="0.3"/>
    <row r="458" s="1" customFormat="1" ht="14.25" customHeight="1" x14ac:dyDescent="0.3"/>
    <row r="459" s="1" customFormat="1" ht="14.25" customHeight="1" x14ac:dyDescent="0.3"/>
    <row r="460" s="1" customFormat="1" ht="14.25" customHeight="1" x14ac:dyDescent="0.3"/>
    <row r="461" s="1" customFormat="1" ht="14.25" customHeight="1" x14ac:dyDescent="0.3"/>
    <row r="462" s="1" customFormat="1" ht="14.25" customHeight="1" x14ac:dyDescent="0.3"/>
    <row r="463" s="1" customFormat="1" ht="14.25" customHeight="1" x14ac:dyDescent="0.3"/>
    <row r="464" s="1" customFormat="1" ht="14.25" customHeight="1" x14ac:dyDescent="0.3"/>
    <row r="465" s="1" customFormat="1" ht="14.25" customHeight="1" x14ac:dyDescent="0.3"/>
    <row r="466" s="1" customFormat="1" ht="14.25" customHeight="1" x14ac:dyDescent="0.3"/>
    <row r="467" s="1" customFormat="1" ht="14.25" customHeight="1" x14ac:dyDescent="0.3"/>
    <row r="468" s="1" customFormat="1" ht="14.25" customHeight="1" x14ac:dyDescent="0.3"/>
    <row r="469" s="1" customFormat="1" ht="14.25" customHeight="1" x14ac:dyDescent="0.3"/>
    <row r="470" s="1" customFormat="1" ht="14.25" customHeight="1" x14ac:dyDescent="0.3"/>
    <row r="471" s="1" customFormat="1" ht="14.25" customHeight="1" x14ac:dyDescent="0.3"/>
    <row r="472" s="1" customFormat="1" ht="14.25" customHeight="1" x14ac:dyDescent="0.3"/>
    <row r="473" s="1" customFormat="1" ht="14.25" customHeight="1" x14ac:dyDescent="0.3"/>
    <row r="474" s="1" customFormat="1" ht="14.25" customHeight="1" x14ac:dyDescent="0.3"/>
    <row r="475" s="1" customFormat="1" ht="14.25" customHeight="1" x14ac:dyDescent="0.3"/>
    <row r="476" s="1" customFormat="1" ht="14.25" customHeight="1" x14ac:dyDescent="0.3"/>
    <row r="477" s="1" customFormat="1" ht="14.25" customHeight="1" x14ac:dyDescent="0.3"/>
    <row r="478" s="1" customFormat="1" ht="14.25" customHeight="1" x14ac:dyDescent="0.3"/>
    <row r="479" s="1" customFormat="1" ht="14.25" customHeight="1" x14ac:dyDescent="0.3"/>
    <row r="480" s="1" customFormat="1" ht="14.25" customHeight="1" x14ac:dyDescent="0.3"/>
    <row r="481" s="1" customFormat="1" ht="14.25" customHeight="1" x14ac:dyDescent="0.3"/>
    <row r="482" s="1" customFormat="1" ht="14.25" customHeight="1" x14ac:dyDescent="0.3"/>
    <row r="483" s="1" customFormat="1" ht="14.25" customHeight="1" x14ac:dyDescent="0.3"/>
    <row r="484" s="1" customFormat="1" ht="14.25" customHeight="1" x14ac:dyDescent="0.3"/>
    <row r="485" s="1" customFormat="1" ht="14.25" customHeight="1" x14ac:dyDescent="0.3"/>
    <row r="486" s="1" customFormat="1" ht="14.25" customHeight="1" x14ac:dyDescent="0.3"/>
    <row r="487" s="1" customFormat="1" ht="14.25" customHeight="1" x14ac:dyDescent="0.3"/>
    <row r="488" s="1" customFormat="1" ht="14.25" customHeight="1" x14ac:dyDescent="0.3"/>
    <row r="489" s="1" customFormat="1" ht="14.25" customHeight="1" x14ac:dyDescent="0.3"/>
    <row r="490" s="1" customFormat="1" ht="14.25" customHeight="1" x14ac:dyDescent="0.3"/>
    <row r="491" s="1" customFormat="1" ht="14.25" customHeight="1" x14ac:dyDescent="0.3"/>
    <row r="492" s="1" customFormat="1" ht="14.25" customHeight="1" x14ac:dyDescent="0.3"/>
    <row r="493" s="1" customFormat="1" ht="14.25" customHeight="1" x14ac:dyDescent="0.3"/>
    <row r="494" s="1" customFormat="1" ht="14.25" customHeight="1" x14ac:dyDescent="0.3"/>
    <row r="495" s="1" customFormat="1" ht="14.25" customHeight="1" x14ac:dyDescent="0.3"/>
    <row r="496" s="1" customFormat="1" ht="14.25" customHeight="1" x14ac:dyDescent="0.3"/>
    <row r="497" s="1" customFormat="1" ht="14.25" customHeight="1" x14ac:dyDescent="0.3"/>
    <row r="498" s="1" customFormat="1" ht="14.25" customHeight="1" x14ac:dyDescent="0.3"/>
    <row r="499" s="1" customFormat="1" ht="14.25" customHeight="1" x14ac:dyDescent="0.3"/>
    <row r="500" s="1" customFormat="1" ht="14.25" customHeight="1" x14ac:dyDescent="0.3"/>
    <row r="501" s="1" customFormat="1" ht="14.25" customHeight="1" x14ac:dyDescent="0.3"/>
    <row r="502" s="1" customFormat="1" ht="14.25" customHeight="1" x14ac:dyDescent="0.3"/>
    <row r="503" s="1" customFormat="1" ht="14.25" customHeight="1" x14ac:dyDescent="0.3"/>
    <row r="504" s="1" customFormat="1" ht="14.25" customHeight="1" x14ac:dyDescent="0.3"/>
    <row r="505" s="1" customFormat="1" ht="14.25" customHeight="1" x14ac:dyDescent="0.3"/>
    <row r="506" s="1" customFormat="1" ht="14.25" customHeight="1" x14ac:dyDescent="0.3"/>
    <row r="507" s="1" customFormat="1" ht="14.25" customHeight="1" x14ac:dyDescent="0.3"/>
    <row r="508" s="1" customFormat="1" ht="14.25" customHeight="1" x14ac:dyDescent="0.3"/>
    <row r="509" s="1" customFormat="1" ht="14.25" customHeight="1" x14ac:dyDescent="0.3"/>
    <row r="510" s="1" customFormat="1" ht="14.25" customHeight="1" x14ac:dyDescent="0.3"/>
    <row r="511" s="1" customFormat="1" ht="14.25" customHeight="1" x14ac:dyDescent="0.3"/>
    <row r="512" s="1" customFormat="1" ht="14.25" customHeight="1" x14ac:dyDescent="0.3"/>
    <row r="513" s="1" customFormat="1" ht="14.25" customHeight="1" x14ac:dyDescent="0.3"/>
    <row r="514" s="1" customFormat="1" ht="14.25" customHeight="1" x14ac:dyDescent="0.3"/>
    <row r="515" s="1" customFormat="1" ht="14.25" customHeight="1" x14ac:dyDescent="0.3"/>
    <row r="516" s="1" customFormat="1" ht="14.25" customHeight="1" x14ac:dyDescent="0.3"/>
    <row r="517" s="1" customFormat="1" ht="14.25" customHeight="1" x14ac:dyDescent="0.3"/>
    <row r="518" s="1" customFormat="1" ht="14.25" customHeight="1" x14ac:dyDescent="0.3"/>
    <row r="519" s="1" customFormat="1" ht="14.25" customHeight="1" x14ac:dyDescent="0.3"/>
    <row r="520" s="1" customFormat="1" ht="14.25" customHeight="1" x14ac:dyDescent="0.3"/>
    <row r="521" s="1" customFormat="1" ht="14.25" customHeight="1" x14ac:dyDescent="0.3"/>
    <row r="522" s="1" customFormat="1" ht="14.25" customHeight="1" x14ac:dyDescent="0.3"/>
    <row r="523" s="1" customFormat="1" ht="14.25" customHeight="1" x14ac:dyDescent="0.3"/>
    <row r="524" s="1" customFormat="1" ht="14.25" customHeight="1" x14ac:dyDescent="0.3"/>
    <row r="525" s="1" customFormat="1" ht="14.25" customHeight="1" x14ac:dyDescent="0.3"/>
    <row r="526" s="1" customFormat="1" ht="14.25" customHeight="1" x14ac:dyDescent="0.3"/>
    <row r="527" s="1" customFormat="1" ht="14.25" customHeight="1" x14ac:dyDescent="0.3"/>
    <row r="528" s="1" customFormat="1" ht="14.25" customHeight="1" x14ac:dyDescent="0.3"/>
    <row r="529" s="1" customFormat="1" ht="14.25" customHeight="1" x14ac:dyDescent="0.3"/>
    <row r="530" s="1" customFormat="1" ht="14.25" customHeight="1" x14ac:dyDescent="0.3"/>
    <row r="531" s="1" customFormat="1" ht="14.25" customHeight="1" x14ac:dyDescent="0.3"/>
    <row r="532" s="1" customFormat="1" ht="14.25" customHeight="1" x14ac:dyDescent="0.3"/>
    <row r="533" s="1" customFormat="1" ht="14.25" customHeight="1" x14ac:dyDescent="0.3"/>
    <row r="534" s="1" customFormat="1" ht="14.25" customHeight="1" x14ac:dyDescent="0.3"/>
    <row r="535" s="1" customFormat="1" ht="14.25" customHeight="1" x14ac:dyDescent="0.3"/>
    <row r="536" s="1" customFormat="1" ht="14.25" customHeight="1" x14ac:dyDescent="0.3"/>
    <row r="537" s="1" customFormat="1" ht="14.25" customHeight="1" x14ac:dyDescent="0.3"/>
    <row r="538" s="1" customFormat="1" ht="14.25" customHeight="1" x14ac:dyDescent="0.3"/>
    <row r="539" s="1" customFormat="1" ht="14.25" customHeight="1" x14ac:dyDescent="0.3"/>
    <row r="540" s="1" customFormat="1" ht="14.25" customHeight="1" x14ac:dyDescent="0.3"/>
    <row r="541" s="1" customFormat="1" ht="14.25" customHeight="1" x14ac:dyDescent="0.3"/>
    <row r="542" s="1" customFormat="1" ht="14.25" customHeight="1" x14ac:dyDescent="0.3"/>
    <row r="543" s="1" customFormat="1" ht="14.25" customHeight="1" x14ac:dyDescent="0.3"/>
    <row r="544" s="1" customFormat="1" ht="14.25" customHeight="1" x14ac:dyDescent="0.3"/>
    <row r="545" s="1" customFormat="1" ht="14.25" customHeight="1" x14ac:dyDescent="0.3"/>
    <row r="546" s="1" customFormat="1" ht="14.25" customHeight="1" x14ac:dyDescent="0.3"/>
    <row r="547" s="1" customFormat="1" ht="14.25" customHeight="1" x14ac:dyDescent="0.3"/>
    <row r="548" s="1" customFormat="1" ht="14.25" customHeight="1" x14ac:dyDescent="0.3"/>
    <row r="549" s="1" customFormat="1" ht="14.25" customHeight="1" x14ac:dyDescent="0.3"/>
    <row r="550" s="1" customFormat="1" ht="14.25" customHeight="1" x14ac:dyDescent="0.3"/>
    <row r="551" s="1" customFormat="1" ht="14.25" customHeight="1" x14ac:dyDescent="0.3"/>
    <row r="552" s="1" customFormat="1" ht="14.25" customHeight="1" x14ac:dyDescent="0.3"/>
    <row r="553" s="1" customFormat="1" ht="14.25" customHeight="1" x14ac:dyDescent="0.3"/>
    <row r="554" s="1" customFormat="1" ht="14.25" customHeight="1" x14ac:dyDescent="0.3"/>
    <row r="555" s="1" customFormat="1" ht="14.25" customHeight="1" x14ac:dyDescent="0.3"/>
    <row r="556" s="1" customFormat="1" ht="14.25" customHeight="1" x14ac:dyDescent="0.3"/>
    <row r="557" s="1" customFormat="1" ht="14.25" customHeight="1" x14ac:dyDescent="0.3"/>
    <row r="558" s="1" customFormat="1" ht="14.25" customHeight="1" x14ac:dyDescent="0.3"/>
    <row r="559" s="1" customFormat="1" ht="14.25" customHeight="1" x14ac:dyDescent="0.3"/>
    <row r="560" s="1" customFormat="1" ht="14.25" customHeight="1" x14ac:dyDescent="0.3"/>
    <row r="561" s="1" customFormat="1" ht="14.25" customHeight="1" x14ac:dyDescent="0.3"/>
    <row r="562" s="1" customFormat="1" ht="14.25" customHeight="1" x14ac:dyDescent="0.3"/>
    <row r="563" s="1" customFormat="1" ht="14.25" customHeight="1" x14ac:dyDescent="0.3"/>
    <row r="564" s="1" customFormat="1" ht="14.25" customHeight="1" x14ac:dyDescent="0.3"/>
    <row r="565" s="1" customFormat="1" ht="14.25" customHeight="1" x14ac:dyDescent="0.3"/>
    <row r="566" s="1" customFormat="1" ht="14.25" customHeight="1" x14ac:dyDescent="0.3"/>
    <row r="567" s="1" customFormat="1" ht="14.25" customHeight="1" x14ac:dyDescent="0.3"/>
    <row r="568" s="1" customFormat="1" ht="14.25" customHeight="1" x14ac:dyDescent="0.3"/>
    <row r="569" s="1" customFormat="1" ht="14.25" customHeight="1" x14ac:dyDescent="0.3"/>
    <row r="570" s="1" customFormat="1" ht="14.25" customHeight="1" x14ac:dyDescent="0.3"/>
    <row r="571" s="1" customFormat="1" ht="14.25" customHeight="1" x14ac:dyDescent="0.3"/>
    <row r="572" s="1" customFormat="1" ht="14.25" customHeight="1" x14ac:dyDescent="0.3"/>
    <row r="573" s="1" customFormat="1" ht="14.25" customHeight="1" x14ac:dyDescent="0.3"/>
    <row r="574" s="1" customFormat="1" ht="14.25" customHeight="1" x14ac:dyDescent="0.3"/>
    <row r="575" s="1" customFormat="1" ht="14.25" customHeight="1" x14ac:dyDescent="0.3"/>
    <row r="576" s="1" customFormat="1" ht="14.25" customHeight="1" x14ac:dyDescent="0.3"/>
    <row r="577" s="1" customFormat="1" ht="14.25" customHeight="1" x14ac:dyDescent="0.3"/>
    <row r="578" s="1" customFormat="1" ht="14.25" customHeight="1" x14ac:dyDescent="0.3"/>
    <row r="579" s="1" customFormat="1" ht="14.25" customHeight="1" x14ac:dyDescent="0.3"/>
    <row r="580" s="1" customFormat="1" ht="14.25" customHeight="1" x14ac:dyDescent="0.3"/>
    <row r="581" s="1" customFormat="1" ht="14.25" customHeight="1" x14ac:dyDescent="0.3"/>
    <row r="582" s="1" customFormat="1" ht="14.25" customHeight="1" x14ac:dyDescent="0.3"/>
    <row r="583" s="1" customFormat="1" ht="14.25" customHeight="1" x14ac:dyDescent="0.3"/>
    <row r="584" s="1" customFormat="1" ht="14.25" customHeight="1" x14ac:dyDescent="0.3"/>
    <row r="585" s="1" customFormat="1" ht="14.25" customHeight="1" x14ac:dyDescent="0.3"/>
    <row r="586" s="1" customFormat="1" ht="14.25" customHeight="1" x14ac:dyDescent="0.3"/>
    <row r="587" s="1" customFormat="1" ht="14.25" customHeight="1" x14ac:dyDescent="0.3"/>
    <row r="588" s="1" customFormat="1" ht="14.25" customHeight="1" x14ac:dyDescent="0.3"/>
    <row r="589" s="1" customFormat="1" ht="14.25" customHeight="1" x14ac:dyDescent="0.3"/>
    <row r="590" s="1" customFormat="1" ht="14.25" customHeight="1" x14ac:dyDescent="0.3"/>
    <row r="591" s="1" customFormat="1" ht="14.25" customHeight="1" x14ac:dyDescent="0.3"/>
    <row r="592" s="1" customFormat="1" ht="14.25" customHeight="1" x14ac:dyDescent="0.3"/>
    <row r="593" s="1" customFormat="1" ht="14.25" customHeight="1" x14ac:dyDescent="0.3"/>
    <row r="594" s="1" customFormat="1" ht="14.25" customHeight="1" x14ac:dyDescent="0.3"/>
    <row r="595" s="1" customFormat="1" ht="14.25" customHeight="1" x14ac:dyDescent="0.3"/>
    <row r="596" s="1" customFormat="1" ht="14.25" customHeight="1" x14ac:dyDescent="0.3"/>
    <row r="597" s="1" customFormat="1" ht="14.25" customHeight="1" x14ac:dyDescent="0.3"/>
    <row r="598" s="1" customFormat="1" ht="14.25" customHeight="1" x14ac:dyDescent="0.3"/>
    <row r="599" s="1" customFormat="1" ht="14.25" customHeight="1" x14ac:dyDescent="0.3"/>
    <row r="600" s="1" customFormat="1" ht="14.25" customHeight="1" x14ac:dyDescent="0.3"/>
    <row r="601" s="1" customFormat="1" ht="14.25" customHeight="1" x14ac:dyDescent="0.3"/>
    <row r="602" s="1" customFormat="1" ht="14.25" customHeight="1" x14ac:dyDescent="0.3"/>
    <row r="603" s="1" customFormat="1" ht="14.25" customHeight="1" x14ac:dyDescent="0.3"/>
    <row r="604" s="1" customFormat="1" ht="14.25" customHeight="1" x14ac:dyDescent="0.3"/>
    <row r="605" s="1" customFormat="1" ht="14.25" customHeight="1" x14ac:dyDescent="0.3"/>
    <row r="606" s="1" customFormat="1" ht="14.25" customHeight="1" x14ac:dyDescent="0.3"/>
    <row r="607" s="1" customFormat="1" ht="14.25" customHeight="1" x14ac:dyDescent="0.3"/>
    <row r="608" s="1" customFormat="1" ht="14.25" customHeight="1" x14ac:dyDescent="0.3"/>
    <row r="609" s="1" customFormat="1" ht="14.25" customHeight="1" x14ac:dyDescent="0.3"/>
    <row r="610" s="1" customFormat="1" ht="14.25" customHeight="1" x14ac:dyDescent="0.3"/>
    <row r="611" s="1" customFormat="1" ht="14.25" customHeight="1" x14ac:dyDescent="0.3"/>
    <row r="612" s="1" customFormat="1" ht="14.25" customHeight="1" x14ac:dyDescent="0.3"/>
    <row r="613" s="1" customFormat="1" ht="14.25" customHeight="1" x14ac:dyDescent="0.3"/>
    <row r="614" s="1" customFormat="1" ht="14.25" customHeight="1" x14ac:dyDescent="0.3"/>
    <row r="615" s="1" customFormat="1" ht="14.25" customHeight="1" x14ac:dyDescent="0.3"/>
    <row r="616" s="1" customFormat="1" ht="14.25" customHeight="1" x14ac:dyDescent="0.3"/>
    <row r="617" s="1" customFormat="1" ht="14.25" customHeight="1" x14ac:dyDescent="0.3"/>
    <row r="618" s="1" customFormat="1" ht="14.25" customHeight="1" x14ac:dyDescent="0.3"/>
    <row r="619" s="1" customFormat="1" ht="14.25" customHeight="1" x14ac:dyDescent="0.3"/>
    <row r="620" s="1" customFormat="1" ht="14.25" customHeight="1" x14ac:dyDescent="0.3"/>
    <row r="621" s="1" customFormat="1" ht="14.25" customHeight="1" x14ac:dyDescent="0.3"/>
    <row r="622" s="1" customFormat="1" ht="14.25" customHeight="1" x14ac:dyDescent="0.3"/>
    <row r="623" s="1" customFormat="1" ht="14.25" customHeight="1" x14ac:dyDescent="0.3"/>
    <row r="624" s="1" customFormat="1" ht="14.25" customHeight="1" x14ac:dyDescent="0.3"/>
    <row r="625" s="1" customFormat="1" ht="14.25" customHeight="1" x14ac:dyDescent="0.3"/>
    <row r="626" s="1" customFormat="1" ht="14.25" customHeight="1" x14ac:dyDescent="0.3"/>
    <row r="627" s="1" customFormat="1" ht="14.25" customHeight="1" x14ac:dyDescent="0.3"/>
    <row r="628" s="1" customFormat="1" ht="14.25" customHeight="1" x14ac:dyDescent="0.3"/>
    <row r="629" s="1" customFormat="1" ht="14.25" customHeight="1" x14ac:dyDescent="0.3"/>
    <row r="630" s="1" customFormat="1" ht="14.25" customHeight="1" x14ac:dyDescent="0.3"/>
    <row r="631" s="1" customFormat="1" ht="14.25" customHeight="1" x14ac:dyDescent="0.3"/>
    <row r="632" s="1" customFormat="1" ht="14.25" customHeight="1" x14ac:dyDescent="0.3"/>
    <row r="633" s="1" customFormat="1" ht="14.25" customHeight="1" x14ac:dyDescent="0.3"/>
    <row r="634" s="1" customFormat="1" ht="14.25" customHeight="1" x14ac:dyDescent="0.3"/>
    <row r="635" s="1" customFormat="1" ht="14.25" customHeight="1" x14ac:dyDescent="0.3"/>
    <row r="636" s="1" customFormat="1" ht="14.25" customHeight="1" x14ac:dyDescent="0.3"/>
    <row r="637" s="1" customFormat="1" ht="14.25" customHeight="1" x14ac:dyDescent="0.3"/>
    <row r="638" s="1" customFormat="1" ht="14.25" customHeight="1" x14ac:dyDescent="0.3"/>
    <row r="639" s="1" customFormat="1" ht="14.25" customHeight="1" x14ac:dyDescent="0.3"/>
    <row r="640" s="1" customFormat="1" ht="14.25" customHeight="1" x14ac:dyDescent="0.3"/>
    <row r="641" s="1" customFormat="1" ht="14.25" customHeight="1" x14ac:dyDescent="0.3"/>
    <row r="642" s="1" customFormat="1" ht="14.25" customHeight="1" x14ac:dyDescent="0.3"/>
    <row r="643" s="1" customFormat="1" ht="14.25" customHeight="1" x14ac:dyDescent="0.3"/>
    <row r="644" s="1" customFormat="1" ht="14.25" customHeight="1" x14ac:dyDescent="0.3"/>
    <row r="645" s="1" customFormat="1" ht="14.25" customHeight="1" x14ac:dyDescent="0.3"/>
    <row r="646" s="1" customFormat="1" ht="14.25" customHeight="1" x14ac:dyDescent="0.3"/>
    <row r="647" s="1" customFormat="1" ht="14.25" customHeight="1" x14ac:dyDescent="0.3"/>
    <row r="648" s="1" customFormat="1" ht="14.25" customHeight="1" x14ac:dyDescent="0.3"/>
    <row r="649" s="1" customFormat="1" ht="14.25" customHeight="1" x14ac:dyDescent="0.3"/>
    <row r="650" s="1" customFormat="1" ht="14.25" customHeight="1" x14ac:dyDescent="0.3"/>
    <row r="651" s="1" customFormat="1" ht="14.25" customHeight="1" x14ac:dyDescent="0.3"/>
    <row r="652" s="1" customFormat="1" ht="14.25" customHeight="1" x14ac:dyDescent="0.3"/>
    <row r="653" s="1" customFormat="1" ht="14.25" customHeight="1" x14ac:dyDescent="0.3"/>
    <row r="654" s="1" customFormat="1" ht="14.25" customHeight="1" x14ac:dyDescent="0.3"/>
    <row r="655" s="1" customFormat="1" ht="14.25" customHeight="1" x14ac:dyDescent="0.3"/>
    <row r="656" s="1" customFormat="1" ht="14.25" customHeight="1" x14ac:dyDescent="0.3"/>
    <row r="657" s="1" customFormat="1" ht="14.25" customHeight="1" x14ac:dyDescent="0.3"/>
    <row r="658" s="1" customFormat="1" ht="14.25" customHeight="1" x14ac:dyDescent="0.3"/>
    <row r="659" s="1" customFormat="1" ht="14.25" customHeight="1" x14ac:dyDescent="0.3"/>
    <row r="660" s="1" customFormat="1" ht="14.25" customHeight="1" x14ac:dyDescent="0.3"/>
    <row r="661" s="1" customFormat="1" ht="14.25" customHeight="1" x14ac:dyDescent="0.3"/>
    <row r="662" s="1" customFormat="1" ht="14.25" customHeight="1" x14ac:dyDescent="0.3"/>
    <row r="663" s="1" customFormat="1" ht="14.25" customHeight="1" x14ac:dyDescent="0.3"/>
    <row r="664" s="1" customFormat="1" ht="14.25" customHeight="1" x14ac:dyDescent="0.3"/>
    <row r="665" s="1" customFormat="1" ht="14.25" customHeight="1" x14ac:dyDescent="0.3"/>
    <row r="666" s="1" customFormat="1" ht="14.25" customHeight="1" x14ac:dyDescent="0.3"/>
    <row r="667" s="1" customFormat="1" ht="14.25" customHeight="1" x14ac:dyDescent="0.3"/>
    <row r="668" s="1" customFormat="1" ht="14.25" customHeight="1" x14ac:dyDescent="0.3"/>
    <row r="669" s="1" customFormat="1" ht="14.25" customHeight="1" x14ac:dyDescent="0.3"/>
    <row r="670" s="1" customFormat="1" ht="14.25" customHeight="1" x14ac:dyDescent="0.3"/>
    <row r="671" s="1" customFormat="1" ht="14.25" customHeight="1" x14ac:dyDescent="0.3"/>
    <row r="672" s="1" customFormat="1" ht="14.25" customHeight="1" x14ac:dyDescent="0.3"/>
    <row r="673" s="1" customFormat="1" ht="14.25" customHeight="1" x14ac:dyDescent="0.3"/>
    <row r="674" s="1" customFormat="1" ht="14.25" customHeight="1" x14ac:dyDescent="0.3"/>
    <row r="675" s="1" customFormat="1" ht="14.25" customHeight="1" x14ac:dyDescent="0.3"/>
    <row r="676" s="1" customFormat="1" ht="14.25" customHeight="1" x14ac:dyDescent="0.3"/>
    <row r="677" s="1" customFormat="1" ht="14.25" customHeight="1" x14ac:dyDescent="0.3"/>
    <row r="678" s="1" customFormat="1" ht="14.25" customHeight="1" x14ac:dyDescent="0.3"/>
    <row r="679" s="1" customFormat="1" ht="14.25" customHeight="1" x14ac:dyDescent="0.3"/>
    <row r="680" s="1" customFormat="1" ht="14.25" customHeight="1" x14ac:dyDescent="0.3"/>
    <row r="681" s="1" customFormat="1" ht="14.25" customHeight="1" x14ac:dyDescent="0.3"/>
    <row r="682" s="1" customFormat="1" ht="14.25" customHeight="1" x14ac:dyDescent="0.3"/>
    <row r="683" s="1" customFormat="1" ht="14.25" customHeight="1" x14ac:dyDescent="0.3"/>
    <row r="684" s="1" customFormat="1" ht="14.25" customHeight="1" x14ac:dyDescent="0.3"/>
    <row r="685" s="1" customFormat="1" ht="14.25" customHeight="1" x14ac:dyDescent="0.3"/>
    <row r="686" s="1" customFormat="1" ht="14.25" customHeight="1" x14ac:dyDescent="0.3"/>
    <row r="687" s="1" customFormat="1" ht="14.25" customHeight="1" x14ac:dyDescent="0.3"/>
    <row r="688" s="1" customFormat="1" ht="14.25" customHeight="1" x14ac:dyDescent="0.3"/>
    <row r="689" s="1" customFormat="1" ht="14.25" customHeight="1" x14ac:dyDescent="0.3"/>
    <row r="690" s="1" customFormat="1" ht="14.25" customHeight="1" x14ac:dyDescent="0.3"/>
    <row r="691" s="1" customFormat="1" ht="14.25" customHeight="1" x14ac:dyDescent="0.3"/>
    <row r="692" s="1" customFormat="1" ht="14.25" customHeight="1" x14ac:dyDescent="0.3"/>
    <row r="693" s="1" customFormat="1" ht="14.25" customHeight="1" x14ac:dyDescent="0.3"/>
    <row r="694" s="1" customFormat="1" ht="14.25" customHeight="1" x14ac:dyDescent="0.3"/>
    <row r="695" s="1" customFormat="1" ht="14.25" customHeight="1" x14ac:dyDescent="0.3"/>
    <row r="696" s="1" customFormat="1" ht="14.25" customHeight="1" x14ac:dyDescent="0.3"/>
    <row r="697" s="1" customFormat="1" ht="14.25" customHeight="1" x14ac:dyDescent="0.3"/>
    <row r="698" s="1" customFormat="1" ht="14.25" customHeight="1" x14ac:dyDescent="0.3"/>
    <row r="699" s="1" customFormat="1" ht="14.25" customHeight="1" x14ac:dyDescent="0.3"/>
    <row r="700" s="1" customFormat="1" ht="14.25" customHeight="1" x14ac:dyDescent="0.3"/>
    <row r="701" s="1" customFormat="1" ht="14.25" customHeight="1" x14ac:dyDescent="0.3"/>
    <row r="702" s="1" customFormat="1" ht="14.25" customHeight="1" x14ac:dyDescent="0.3"/>
    <row r="703" s="1" customFormat="1" ht="14.25" customHeight="1" x14ac:dyDescent="0.3"/>
    <row r="704" s="1" customFormat="1" ht="14.25" customHeight="1" x14ac:dyDescent="0.3"/>
    <row r="705" s="1" customFormat="1" ht="14.25" customHeight="1" x14ac:dyDescent="0.3"/>
    <row r="706" s="1" customFormat="1" ht="14.25" customHeight="1" x14ac:dyDescent="0.3"/>
    <row r="707" s="1" customFormat="1" ht="14.25" customHeight="1" x14ac:dyDescent="0.3"/>
    <row r="708" s="1" customFormat="1" ht="14.25" customHeight="1" x14ac:dyDescent="0.3"/>
    <row r="709" s="1" customFormat="1" ht="14.25" customHeight="1" x14ac:dyDescent="0.3"/>
    <row r="710" s="1" customFormat="1" ht="14.25" customHeight="1" x14ac:dyDescent="0.3"/>
    <row r="711" s="1" customFormat="1" ht="14.25" customHeight="1" x14ac:dyDescent="0.3"/>
    <row r="712" s="1" customFormat="1" ht="14.25" customHeight="1" x14ac:dyDescent="0.3"/>
    <row r="713" s="1" customFormat="1" ht="14.25" customHeight="1" x14ac:dyDescent="0.3"/>
    <row r="714" s="1" customFormat="1" ht="14.25" customHeight="1" x14ac:dyDescent="0.3"/>
    <row r="715" s="1" customFormat="1" ht="14.25" customHeight="1" x14ac:dyDescent="0.3"/>
    <row r="716" s="1" customFormat="1" ht="14.25" customHeight="1" x14ac:dyDescent="0.3"/>
    <row r="717" s="1" customFormat="1" ht="14.25" customHeight="1" x14ac:dyDescent="0.3"/>
    <row r="718" s="1" customFormat="1" ht="14.25" customHeight="1" x14ac:dyDescent="0.3"/>
    <row r="719" s="1" customFormat="1" ht="14.25" customHeight="1" x14ac:dyDescent="0.3"/>
    <row r="720" s="1" customFormat="1" ht="14.25" customHeight="1" x14ac:dyDescent="0.3"/>
    <row r="721" s="1" customFormat="1" ht="14.25" customHeight="1" x14ac:dyDescent="0.3"/>
    <row r="722" s="1" customFormat="1" ht="14.25" customHeight="1" x14ac:dyDescent="0.3"/>
    <row r="723" s="1" customFormat="1" ht="14.25" customHeight="1" x14ac:dyDescent="0.3"/>
    <row r="724" s="1" customFormat="1" ht="14.25" customHeight="1" x14ac:dyDescent="0.3"/>
    <row r="725" s="1" customFormat="1" ht="14.25" customHeight="1" x14ac:dyDescent="0.3"/>
    <row r="726" s="1" customFormat="1" ht="14.25" customHeight="1" x14ac:dyDescent="0.3"/>
    <row r="727" s="1" customFormat="1" ht="14.25" customHeight="1" x14ac:dyDescent="0.3"/>
    <row r="728" s="1" customFormat="1" ht="14.25" customHeight="1" x14ac:dyDescent="0.3"/>
    <row r="729" s="1" customFormat="1" ht="14.25" customHeight="1" x14ac:dyDescent="0.3"/>
    <row r="730" s="1" customFormat="1" ht="14.25" customHeight="1" x14ac:dyDescent="0.3"/>
    <row r="731" s="1" customFormat="1" ht="14.25" customHeight="1" x14ac:dyDescent="0.3"/>
    <row r="732" s="1" customFormat="1" ht="14.25" customHeight="1" x14ac:dyDescent="0.3"/>
    <row r="733" s="1" customFormat="1" ht="14.25" customHeight="1" x14ac:dyDescent="0.3"/>
    <row r="734" s="1" customFormat="1" ht="14.25" customHeight="1" x14ac:dyDescent="0.3"/>
    <row r="735" s="1" customFormat="1" ht="14.25" customHeight="1" x14ac:dyDescent="0.3"/>
    <row r="736" s="1" customFormat="1" ht="14.25" customHeight="1" x14ac:dyDescent="0.3"/>
    <row r="737" s="1" customFormat="1" ht="14.25" customHeight="1" x14ac:dyDescent="0.3"/>
    <row r="738" s="1" customFormat="1" ht="14.25" customHeight="1" x14ac:dyDescent="0.3"/>
    <row r="739" s="1" customFormat="1" ht="14.25" customHeight="1" x14ac:dyDescent="0.3"/>
    <row r="740" s="1" customFormat="1" ht="14.25" customHeight="1" x14ac:dyDescent="0.3"/>
    <row r="741" s="1" customFormat="1" ht="14.25" customHeight="1" x14ac:dyDescent="0.3"/>
    <row r="742" s="1" customFormat="1" ht="14.25" customHeight="1" x14ac:dyDescent="0.3"/>
    <row r="743" s="1" customFormat="1" ht="14.25" customHeight="1" x14ac:dyDescent="0.3"/>
    <row r="744" s="1" customFormat="1" ht="14.25" customHeight="1" x14ac:dyDescent="0.3"/>
    <row r="745" s="1" customFormat="1" ht="14.25" customHeight="1" x14ac:dyDescent="0.3"/>
    <row r="746" s="1" customFormat="1" ht="14.25" customHeight="1" x14ac:dyDescent="0.3"/>
    <row r="747" s="1" customFormat="1" ht="14.25" customHeight="1" x14ac:dyDescent="0.3"/>
    <row r="748" s="1" customFormat="1" ht="14.25" customHeight="1" x14ac:dyDescent="0.3"/>
    <row r="749" s="1" customFormat="1" ht="14.25" customHeight="1" x14ac:dyDescent="0.3"/>
    <row r="750" s="1" customFormat="1" ht="14.25" customHeight="1" x14ac:dyDescent="0.3"/>
    <row r="751" s="1" customFormat="1" ht="14.25" customHeight="1" x14ac:dyDescent="0.3"/>
    <row r="752" s="1" customFormat="1" ht="14.25" customHeight="1" x14ac:dyDescent="0.3"/>
    <row r="753" s="1" customFormat="1" ht="14.25" customHeight="1" x14ac:dyDescent="0.3"/>
    <row r="754" s="1" customFormat="1" ht="14.25" customHeight="1" x14ac:dyDescent="0.3"/>
    <row r="755" s="1" customFormat="1" ht="14.25" customHeight="1" x14ac:dyDescent="0.3"/>
    <row r="756" s="1" customFormat="1" ht="14.25" customHeight="1" x14ac:dyDescent="0.3"/>
    <row r="757" s="1" customFormat="1" ht="14.25" customHeight="1" x14ac:dyDescent="0.3"/>
    <row r="758" s="1" customFormat="1" ht="14.25" customHeight="1" x14ac:dyDescent="0.3"/>
    <row r="759" s="1" customFormat="1" ht="14.25" customHeight="1" x14ac:dyDescent="0.3"/>
    <row r="760" s="1" customFormat="1" ht="14.25" customHeight="1" x14ac:dyDescent="0.3"/>
    <row r="761" s="1" customFormat="1" ht="14.25" customHeight="1" x14ac:dyDescent="0.3"/>
    <row r="762" s="1" customFormat="1" ht="14.25" customHeight="1" x14ac:dyDescent="0.3"/>
    <row r="763" s="1" customFormat="1" ht="14.25" customHeight="1" x14ac:dyDescent="0.3"/>
    <row r="764" s="1" customFormat="1" ht="14.25" customHeight="1" x14ac:dyDescent="0.3"/>
    <row r="765" s="1" customFormat="1" ht="14.25" customHeight="1" x14ac:dyDescent="0.3"/>
    <row r="766" s="1" customFormat="1" ht="14.25" customHeight="1" x14ac:dyDescent="0.3"/>
    <row r="767" s="1" customFormat="1" ht="14.25" customHeight="1" x14ac:dyDescent="0.3"/>
    <row r="768" s="1" customFormat="1" ht="14.25" customHeight="1" x14ac:dyDescent="0.3"/>
    <row r="769" s="1" customFormat="1" ht="14.25" customHeight="1" x14ac:dyDescent="0.3"/>
    <row r="770" s="1" customFormat="1" ht="14.25" customHeight="1" x14ac:dyDescent="0.3"/>
    <row r="771" s="1" customFormat="1" ht="14.25" customHeight="1" x14ac:dyDescent="0.3"/>
    <row r="772" s="1" customFormat="1" ht="14.25" customHeight="1" x14ac:dyDescent="0.3"/>
    <row r="773" s="1" customFormat="1" ht="14.25" customHeight="1" x14ac:dyDescent="0.3"/>
    <row r="774" s="1" customFormat="1" ht="14.25" customHeight="1" x14ac:dyDescent="0.3"/>
    <row r="775" s="1" customFormat="1" ht="14.25" customHeight="1" x14ac:dyDescent="0.3"/>
    <row r="776" s="1" customFormat="1" ht="14.25" customHeight="1" x14ac:dyDescent="0.3"/>
    <row r="777" s="1" customFormat="1" ht="14.25" customHeight="1" x14ac:dyDescent="0.3"/>
    <row r="778" s="1" customFormat="1" ht="14.25" customHeight="1" x14ac:dyDescent="0.3"/>
    <row r="779" s="1" customFormat="1" ht="14.25" customHeight="1" x14ac:dyDescent="0.3"/>
    <row r="780" s="1" customFormat="1" ht="14.25" customHeight="1" x14ac:dyDescent="0.3"/>
    <row r="781" s="1" customFormat="1" ht="14.25" customHeight="1" x14ac:dyDescent="0.3"/>
    <row r="782" s="1" customFormat="1" ht="14.25" customHeight="1" x14ac:dyDescent="0.3"/>
    <row r="783" s="1" customFormat="1" ht="14.25" customHeight="1" x14ac:dyDescent="0.3"/>
    <row r="784" s="1" customFormat="1" ht="14.25" customHeight="1" x14ac:dyDescent="0.3"/>
    <row r="785" s="1" customFormat="1" ht="14.25" customHeight="1" x14ac:dyDescent="0.3"/>
    <row r="786" s="1" customFormat="1" ht="14.25" customHeight="1" x14ac:dyDescent="0.3"/>
    <row r="787" s="1" customFormat="1" ht="14.25" customHeight="1" x14ac:dyDescent="0.3"/>
    <row r="788" s="1" customFormat="1" ht="14.25" customHeight="1" x14ac:dyDescent="0.3"/>
    <row r="789" s="1" customFormat="1" ht="14.25" customHeight="1" x14ac:dyDescent="0.3"/>
    <row r="790" s="1" customFormat="1" ht="14.25" customHeight="1" x14ac:dyDescent="0.3"/>
    <row r="791" s="1" customFormat="1" ht="14.25" customHeight="1" x14ac:dyDescent="0.3"/>
    <row r="792" s="1" customFormat="1" ht="14.25" customHeight="1" x14ac:dyDescent="0.3"/>
    <row r="793" s="1" customFormat="1" ht="14.25" customHeight="1" x14ac:dyDescent="0.3"/>
    <row r="794" s="1" customFormat="1" ht="14.25" customHeight="1" x14ac:dyDescent="0.3"/>
    <row r="795" s="1" customFormat="1" ht="14.25" customHeight="1" x14ac:dyDescent="0.3"/>
    <row r="796" s="1" customFormat="1" ht="14.25" customHeight="1" x14ac:dyDescent="0.3"/>
    <row r="797" s="1" customFormat="1" ht="14.25" customHeight="1" x14ac:dyDescent="0.3"/>
    <row r="798" s="1" customFormat="1" ht="14.25" customHeight="1" x14ac:dyDescent="0.3"/>
    <row r="799" s="1" customFormat="1" ht="14.25" customHeight="1" x14ac:dyDescent="0.3"/>
    <row r="800" s="1" customFormat="1" ht="14.25" customHeight="1" x14ac:dyDescent="0.3"/>
    <row r="801" s="1" customFormat="1" ht="14.25" customHeight="1" x14ac:dyDescent="0.3"/>
    <row r="802" s="1" customFormat="1" ht="14.25" customHeight="1" x14ac:dyDescent="0.3"/>
    <row r="803" s="1" customFormat="1" ht="14.25" customHeight="1" x14ac:dyDescent="0.3"/>
    <row r="804" s="1" customFormat="1" ht="14.25" customHeight="1" x14ac:dyDescent="0.3"/>
    <row r="805" s="1" customFormat="1" ht="14.25" customHeight="1" x14ac:dyDescent="0.3"/>
    <row r="806" s="1" customFormat="1" ht="14.25" customHeight="1" x14ac:dyDescent="0.3"/>
    <row r="807" s="1" customFormat="1" ht="14.25" customHeight="1" x14ac:dyDescent="0.3"/>
    <row r="808" s="1" customFormat="1" ht="14.25" customHeight="1" x14ac:dyDescent="0.3"/>
    <row r="809" s="1" customFormat="1" ht="14.25" customHeight="1" x14ac:dyDescent="0.3"/>
    <row r="810" s="1" customFormat="1" ht="14.25" customHeight="1" x14ac:dyDescent="0.3"/>
    <row r="811" s="1" customFormat="1" ht="14.25" customHeight="1" x14ac:dyDescent="0.3"/>
    <row r="812" s="1" customFormat="1" ht="14.25" customHeight="1" x14ac:dyDescent="0.3"/>
    <row r="813" s="1" customFormat="1" ht="14.25" customHeight="1" x14ac:dyDescent="0.3"/>
    <row r="814" s="1" customFormat="1" ht="14.25" customHeight="1" x14ac:dyDescent="0.3"/>
    <row r="815" s="1" customFormat="1" ht="14.25" customHeight="1" x14ac:dyDescent="0.3"/>
    <row r="816" s="1" customFormat="1" ht="14.25" customHeight="1" x14ac:dyDescent="0.3"/>
    <row r="817" s="1" customFormat="1" ht="14.25" customHeight="1" x14ac:dyDescent="0.3"/>
    <row r="818" s="1" customFormat="1" ht="14.25" customHeight="1" x14ac:dyDescent="0.3"/>
    <row r="819" s="1" customFormat="1" ht="14.25" customHeight="1" x14ac:dyDescent="0.3"/>
    <row r="820" s="1" customFormat="1" ht="14.25" customHeight="1" x14ac:dyDescent="0.3"/>
    <row r="821" s="1" customFormat="1" ht="14.25" customHeight="1" x14ac:dyDescent="0.3"/>
    <row r="822" s="1" customFormat="1" ht="14.25" customHeight="1" x14ac:dyDescent="0.3"/>
    <row r="823" s="1" customFormat="1" ht="14.25" customHeight="1" x14ac:dyDescent="0.3"/>
    <row r="824" s="1" customFormat="1" ht="14.25" customHeight="1" x14ac:dyDescent="0.3"/>
    <row r="825" s="1" customFormat="1" ht="14.25" customHeight="1" x14ac:dyDescent="0.3"/>
    <row r="826" s="1" customFormat="1" ht="14.25" customHeight="1" x14ac:dyDescent="0.3"/>
    <row r="827" s="1" customFormat="1" ht="14.25" customHeight="1" x14ac:dyDescent="0.3"/>
    <row r="828" s="1" customFormat="1" ht="14.25" customHeight="1" x14ac:dyDescent="0.3"/>
    <row r="829" s="1" customFormat="1" ht="14.25" customHeight="1" x14ac:dyDescent="0.3"/>
    <row r="830" s="1" customFormat="1" ht="14.25" customHeight="1" x14ac:dyDescent="0.3"/>
    <row r="831" s="1" customFormat="1" ht="14.25" customHeight="1" x14ac:dyDescent="0.3"/>
    <row r="832" s="1" customFormat="1" ht="14.25" customHeight="1" x14ac:dyDescent="0.3"/>
    <row r="833" s="1" customFormat="1" ht="14.25" customHeight="1" x14ac:dyDescent="0.3"/>
    <row r="834" s="1" customFormat="1" ht="14.25" customHeight="1" x14ac:dyDescent="0.3"/>
    <row r="835" s="1" customFormat="1" ht="14.25" customHeight="1" x14ac:dyDescent="0.3"/>
    <row r="836" s="1" customFormat="1" ht="14.25" customHeight="1" x14ac:dyDescent="0.3"/>
    <row r="837" s="1" customFormat="1" ht="14.25" customHeight="1" x14ac:dyDescent="0.3"/>
    <row r="838" s="1" customFormat="1" ht="14.25" customHeight="1" x14ac:dyDescent="0.3"/>
    <row r="839" s="1" customFormat="1" ht="14.25" customHeight="1" x14ac:dyDescent="0.3"/>
    <row r="840" s="1" customFormat="1" ht="14.25" customHeight="1" x14ac:dyDescent="0.3"/>
    <row r="841" s="1" customFormat="1" ht="14.25" customHeight="1" x14ac:dyDescent="0.3"/>
    <row r="842" s="1" customFormat="1" ht="14.25" customHeight="1" x14ac:dyDescent="0.3"/>
    <row r="843" s="1" customFormat="1" ht="14.25" customHeight="1" x14ac:dyDescent="0.3"/>
    <row r="844" s="1" customFormat="1" ht="14.25" customHeight="1" x14ac:dyDescent="0.3"/>
    <row r="845" s="1" customFormat="1" ht="14.25" customHeight="1" x14ac:dyDescent="0.3"/>
    <row r="846" s="1" customFormat="1" ht="14.25" customHeight="1" x14ac:dyDescent="0.3"/>
    <row r="847" s="1" customFormat="1" ht="14.25" customHeight="1" x14ac:dyDescent="0.3"/>
    <row r="848" s="1" customFormat="1" ht="14.25" customHeight="1" x14ac:dyDescent="0.3"/>
    <row r="849" s="1" customFormat="1" ht="14.25" customHeight="1" x14ac:dyDescent="0.3"/>
    <row r="850" s="1" customFormat="1" ht="14.25" customHeight="1" x14ac:dyDescent="0.3"/>
    <row r="851" s="1" customFormat="1" ht="14.25" customHeight="1" x14ac:dyDescent="0.3"/>
    <row r="852" s="1" customFormat="1" ht="14.25" customHeight="1" x14ac:dyDescent="0.3"/>
    <row r="853" s="1" customFormat="1" ht="14.25" customHeight="1" x14ac:dyDescent="0.3"/>
    <row r="854" s="1" customFormat="1" ht="14.25" customHeight="1" x14ac:dyDescent="0.3"/>
    <row r="855" s="1" customFormat="1" ht="14.25" customHeight="1" x14ac:dyDescent="0.3"/>
    <row r="856" s="1" customFormat="1" ht="14.25" customHeight="1" x14ac:dyDescent="0.3"/>
    <row r="857" s="1" customFormat="1" ht="14.25" customHeight="1" x14ac:dyDescent="0.3"/>
    <row r="858" s="1" customFormat="1" ht="14.25" customHeight="1" x14ac:dyDescent="0.3"/>
    <row r="859" s="1" customFormat="1" ht="14.25" customHeight="1" x14ac:dyDescent="0.3"/>
    <row r="860" s="1" customFormat="1" ht="14.25" customHeight="1" x14ac:dyDescent="0.3"/>
    <row r="861" s="1" customFormat="1" ht="14.25" customHeight="1" x14ac:dyDescent="0.3"/>
    <row r="862" s="1" customFormat="1" ht="14.25" customHeight="1" x14ac:dyDescent="0.3"/>
    <row r="863" s="1" customFormat="1" ht="14.25" customHeight="1" x14ac:dyDescent="0.3"/>
    <row r="864" s="1" customFormat="1" ht="14.25" customHeight="1" x14ac:dyDescent="0.3"/>
    <row r="865" s="1" customFormat="1" ht="14.25" customHeight="1" x14ac:dyDescent="0.3"/>
    <row r="866" s="1" customFormat="1" ht="14.25" customHeight="1" x14ac:dyDescent="0.3"/>
    <row r="867" s="1" customFormat="1" ht="14.25" customHeight="1" x14ac:dyDescent="0.3"/>
    <row r="868" s="1" customFormat="1" ht="14.25" customHeight="1" x14ac:dyDescent="0.3"/>
    <row r="869" s="1" customFormat="1" ht="14.25" customHeight="1" x14ac:dyDescent="0.3"/>
    <row r="870" s="1" customFormat="1" ht="14.25" customHeight="1" x14ac:dyDescent="0.3"/>
    <row r="871" s="1" customFormat="1" ht="14.25" customHeight="1" x14ac:dyDescent="0.3"/>
    <row r="872" s="1" customFormat="1" ht="14.25" customHeight="1" x14ac:dyDescent="0.3"/>
    <row r="873" s="1" customFormat="1" ht="14.25" customHeight="1" x14ac:dyDescent="0.3"/>
    <row r="874" s="1" customFormat="1" ht="14.25" customHeight="1" x14ac:dyDescent="0.3"/>
    <row r="875" s="1" customFormat="1" ht="14.25" customHeight="1" x14ac:dyDescent="0.3"/>
    <row r="876" s="1" customFormat="1" ht="14.25" customHeight="1" x14ac:dyDescent="0.3"/>
    <row r="877" s="1" customFormat="1" ht="14.25" customHeight="1" x14ac:dyDescent="0.3"/>
    <row r="878" s="1" customFormat="1" ht="14.25" customHeight="1" x14ac:dyDescent="0.3"/>
    <row r="879" s="1" customFormat="1" ht="14.25" customHeight="1" x14ac:dyDescent="0.3"/>
    <row r="880" s="1" customFormat="1" ht="14.25" customHeight="1" x14ac:dyDescent="0.3"/>
    <row r="881" s="1" customFormat="1" ht="14.25" customHeight="1" x14ac:dyDescent="0.3"/>
    <row r="882" s="1" customFormat="1" ht="14.25" customHeight="1" x14ac:dyDescent="0.3"/>
    <row r="883" s="1" customFormat="1" ht="14.25" customHeight="1" x14ac:dyDescent="0.3"/>
    <row r="884" s="1" customFormat="1" ht="14.25" customHeight="1" x14ac:dyDescent="0.3"/>
    <row r="885" s="1" customFormat="1" ht="14.25" customHeight="1" x14ac:dyDescent="0.3"/>
    <row r="886" s="1" customFormat="1" ht="14.25" customHeight="1" x14ac:dyDescent="0.3"/>
    <row r="887" s="1" customFormat="1" ht="14.25" customHeight="1" x14ac:dyDescent="0.3"/>
    <row r="888" s="1" customFormat="1" ht="14.25" customHeight="1" x14ac:dyDescent="0.3"/>
    <row r="889" s="1" customFormat="1" ht="14.25" customHeight="1" x14ac:dyDescent="0.3"/>
    <row r="890" s="1" customFormat="1" ht="14.25" customHeight="1" x14ac:dyDescent="0.3"/>
    <row r="891" s="1" customFormat="1" ht="14.25" customHeight="1" x14ac:dyDescent="0.3"/>
    <row r="892" s="1" customFormat="1" ht="14.25" customHeight="1" x14ac:dyDescent="0.3"/>
    <row r="893" s="1" customFormat="1" ht="14.25" customHeight="1" x14ac:dyDescent="0.3"/>
    <row r="894" s="1" customFormat="1" ht="14.25" customHeight="1" x14ac:dyDescent="0.3"/>
    <row r="895" s="1" customFormat="1" ht="14.25" customHeight="1" x14ac:dyDescent="0.3"/>
    <row r="896" s="1" customFormat="1" ht="14.25" customHeight="1" x14ac:dyDescent="0.3"/>
    <row r="897" s="1" customFormat="1" ht="14.25" customHeight="1" x14ac:dyDescent="0.3"/>
    <row r="898" s="1" customFormat="1" ht="14.25" customHeight="1" x14ac:dyDescent="0.3"/>
    <row r="899" s="1" customFormat="1" ht="14.25" customHeight="1" x14ac:dyDescent="0.3"/>
    <row r="900" s="1" customFormat="1" ht="14.25" customHeight="1" x14ac:dyDescent="0.3"/>
    <row r="901" s="1" customFormat="1" ht="14.25" customHeight="1" x14ac:dyDescent="0.3"/>
    <row r="902" s="1" customFormat="1" ht="14.25" customHeight="1" x14ac:dyDescent="0.3"/>
    <row r="903" s="1" customFormat="1" ht="14.25" customHeight="1" x14ac:dyDescent="0.3"/>
    <row r="904" s="1" customFormat="1" ht="14.25" customHeight="1" x14ac:dyDescent="0.3"/>
    <row r="905" s="1" customFormat="1" ht="14.25" customHeight="1" x14ac:dyDescent="0.3"/>
    <row r="906" s="1" customFormat="1" ht="14.25" customHeight="1" x14ac:dyDescent="0.3"/>
    <row r="907" s="1" customFormat="1" ht="14.25" customHeight="1" x14ac:dyDescent="0.3"/>
    <row r="908" s="1" customFormat="1" ht="14.25" customHeight="1" x14ac:dyDescent="0.3"/>
    <row r="909" s="1" customFormat="1" ht="14.25" customHeight="1" x14ac:dyDescent="0.3"/>
    <row r="910" s="1" customFormat="1" ht="14.25" customHeight="1" x14ac:dyDescent="0.3"/>
    <row r="911" s="1" customFormat="1" ht="14.25" customHeight="1" x14ac:dyDescent="0.3"/>
    <row r="912" s="1" customFormat="1" ht="14.25" customHeight="1" x14ac:dyDescent="0.3"/>
    <row r="913" s="1" customFormat="1" ht="14.25" customHeight="1" x14ac:dyDescent="0.3"/>
    <row r="914" s="1" customFormat="1" ht="14.25" customHeight="1" x14ac:dyDescent="0.3"/>
    <row r="915" s="1" customFormat="1" ht="14.25" customHeight="1" x14ac:dyDescent="0.3"/>
    <row r="916" s="1" customFormat="1" ht="14.25" customHeight="1" x14ac:dyDescent="0.3"/>
    <row r="917" s="1" customFormat="1" ht="14.25" customHeight="1" x14ac:dyDescent="0.3"/>
    <row r="918" s="1" customFormat="1" ht="14.25" customHeight="1" x14ac:dyDescent="0.3"/>
    <row r="919" s="1" customFormat="1" ht="14.25" customHeight="1" x14ac:dyDescent="0.3"/>
    <row r="920" s="1" customFormat="1" ht="14.25" customHeight="1" x14ac:dyDescent="0.3"/>
    <row r="921" s="1" customFormat="1" ht="14.25" customHeight="1" x14ac:dyDescent="0.3"/>
    <row r="922" s="1" customFormat="1" ht="14.25" customHeight="1" x14ac:dyDescent="0.3"/>
    <row r="923" s="1" customFormat="1" ht="14.25" customHeight="1" x14ac:dyDescent="0.3"/>
    <row r="924" s="1" customFormat="1" ht="14.25" customHeight="1" x14ac:dyDescent="0.3"/>
    <row r="925" s="1" customFormat="1" ht="14.25" customHeight="1" x14ac:dyDescent="0.3"/>
    <row r="926" s="1" customFormat="1" ht="14.25" customHeight="1" x14ac:dyDescent="0.3"/>
    <row r="927" s="1" customFormat="1" ht="14.25" customHeight="1" x14ac:dyDescent="0.3"/>
    <row r="928" s="1" customFormat="1" ht="14.25" customHeight="1" x14ac:dyDescent="0.3"/>
    <row r="929" s="1" customFormat="1" ht="14.25" customHeight="1" x14ac:dyDescent="0.3"/>
    <row r="930" s="1" customFormat="1" ht="14.25" customHeight="1" x14ac:dyDescent="0.3"/>
    <row r="931" s="1" customFormat="1" ht="14.25" customHeight="1" x14ac:dyDescent="0.3"/>
    <row r="932" s="1" customFormat="1" ht="14.25" customHeight="1" x14ac:dyDescent="0.3"/>
    <row r="933" s="1" customFormat="1" ht="14.25" customHeight="1" x14ac:dyDescent="0.3"/>
    <row r="934" s="1" customFormat="1" ht="14.25" customHeight="1" x14ac:dyDescent="0.3"/>
    <row r="935" s="1" customFormat="1" ht="14.25" customHeight="1" x14ac:dyDescent="0.3"/>
    <row r="936" s="1" customFormat="1" ht="14.25" customHeight="1" x14ac:dyDescent="0.3"/>
    <row r="937" s="1" customFormat="1" ht="14.25" customHeight="1" x14ac:dyDescent="0.3"/>
    <row r="938" s="1" customFormat="1" ht="14.25" customHeight="1" x14ac:dyDescent="0.3"/>
    <row r="939" s="1" customFormat="1" ht="14.25" customHeight="1" x14ac:dyDescent="0.3"/>
    <row r="940" s="1" customFormat="1" ht="14.25" customHeight="1" x14ac:dyDescent="0.3"/>
    <row r="941" s="1" customFormat="1" ht="14.25" customHeight="1" x14ac:dyDescent="0.3"/>
    <row r="942" s="1" customFormat="1" ht="14.25" customHeight="1" x14ac:dyDescent="0.3"/>
    <row r="943" s="1" customFormat="1" ht="14.25" customHeight="1" x14ac:dyDescent="0.3"/>
    <row r="944" s="1" customFormat="1" ht="14.25" customHeight="1" x14ac:dyDescent="0.3"/>
    <row r="945" s="1" customFormat="1" ht="14.25" customHeight="1" x14ac:dyDescent="0.3"/>
    <row r="946" s="1" customFormat="1" ht="14.25" customHeight="1" x14ac:dyDescent="0.3"/>
    <row r="947" s="1" customFormat="1" ht="14.25" customHeight="1" x14ac:dyDescent="0.3"/>
    <row r="948" s="1" customFormat="1" ht="14.25" customHeight="1" x14ac:dyDescent="0.3"/>
    <row r="949" s="1" customFormat="1" ht="14.25" customHeight="1" x14ac:dyDescent="0.3"/>
    <row r="950" s="1" customFormat="1" ht="14.25" customHeight="1" x14ac:dyDescent="0.3"/>
    <row r="951" s="1" customFormat="1" ht="14.25" customHeight="1" x14ac:dyDescent="0.3"/>
    <row r="952" s="1" customFormat="1" ht="14.25" customHeight="1" x14ac:dyDescent="0.3"/>
    <row r="953" s="1" customFormat="1" ht="14.25" customHeight="1" x14ac:dyDescent="0.3"/>
    <row r="954" s="1" customFormat="1" ht="14.25" customHeight="1" x14ac:dyDescent="0.3"/>
    <row r="955" s="1" customFormat="1" ht="14.25" customHeight="1" x14ac:dyDescent="0.3"/>
    <row r="956" s="1" customFormat="1" ht="14.25" customHeight="1" x14ac:dyDescent="0.3"/>
    <row r="957" s="1" customFormat="1" ht="14.25" customHeight="1" x14ac:dyDescent="0.3"/>
    <row r="958" s="1" customFormat="1" ht="14.25" customHeight="1" x14ac:dyDescent="0.3"/>
    <row r="959" s="1" customFormat="1" ht="14.25" customHeight="1" x14ac:dyDescent="0.3"/>
    <row r="960" s="1" customFormat="1" ht="14.25" customHeight="1" x14ac:dyDescent="0.3"/>
    <row r="961" s="1" customFormat="1" ht="14.25" customHeight="1" x14ac:dyDescent="0.3"/>
    <row r="962" s="1" customFormat="1" ht="14.25" customHeight="1" x14ac:dyDescent="0.3"/>
    <row r="963" s="1" customFormat="1" ht="14.25" customHeight="1" x14ac:dyDescent="0.3"/>
    <row r="964" s="1" customFormat="1" ht="14.25" customHeight="1" x14ac:dyDescent="0.3"/>
    <row r="965" s="1" customFormat="1" ht="14.25" customHeight="1" x14ac:dyDescent="0.3"/>
    <row r="966" s="1" customFormat="1" ht="14.25" customHeight="1" x14ac:dyDescent="0.3"/>
    <row r="967" s="1" customFormat="1" ht="14.25" customHeight="1" x14ac:dyDescent="0.3"/>
    <row r="968" s="1" customFormat="1" ht="14.25" customHeight="1" x14ac:dyDescent="0.3"/>
    <row r="969" s="1" customFormat="1" ht="14.25" customHeight="1" x14ac:dyDescent="0.3"/>
    <row r="970" s="1" customFormat="1" ht="14.25" customHeight="1" x14ac:dyDescent="0.3"/>
    <row r="971" s="1" customFormat="1" ht="14.25" customHeight="1" x14ac:dyDescent="0.3"/>
    <row r="972" s="1" customFormat="1" ht="14.25" customHeight="1" x14ac:dyDescent="0.3"/>
    <row r="973" s="1" customFormat="1" ht="14.25" customHeight="1" x14ac:dyDescent="0.3"/>
    <row r="974" s="1" customFormat="1" ht="14.25" customHeight="1" x14ac:dyDescent="0.3"/>
    <row r="975" s="1" customFormat="1" ht="14.25" customHeight="1" x14ac:dyDescent="0.3"/>
    <row r="976" s="1" customFormat="1" ht="14.25" customHeight="1" x14ac:dyDescent="0.3"/>
    <row r="977" s="1" customFormat="1" ht="14.25" customHeight="1" x14ac:dyDescent="0.3"/>
    <row r="978" s="1" customFormat="1" ht="14.25" customHeight="1" x14ac:dyDescent="0.3"/>
    <row r="979" s="1" customFormat="1" ht="14.25" customHeight="1" x14ac:dyDescent="0.3"/>
    <row r="980" s="1" customFormat="1" ht="14.25" customHeight="1" x14ac:dyDescent="0.3"/>
    <row r="981" s="1" customFormat="1" ht="14.25" customHeight="1" x14ac:dyDescent="0.3"/>
    <row r="982" s="1" customFormat="1" ht="14.25" customHeight="1" x14ac:dyDescent="0.3"/>
    <row r="983" s="1" customFormat="1" ht="14.25" customHeight="1" x14ac:dyDescent="0.3"/>
    <row r="984" s="1" customFormat="1" ht="14.25" customHeight="1" x14ac:dyDescent="0.3"/>
    <row r="985" s="1" customFormat="1" ht="14.25" customHeight="1" x14ac:dyDescent="0.3"/>
    <row r="986" s="1" customFormat="1" ht="14.25" customHeight="1" x14ac:dyDescent="0.3"/>
    <row r="987" s="1" customFormat="1" ht="14.25" customHeight="1" x14ac:dyDescent="0.3"/>
    <row r="988" s="1" customFormat="1" ht="14.25" customHeight="1" x14ac:dyDescent="0.3"/>
    <row r="989" s="1" customFormat="1" ht="14.25" customHeight="1" x14ac:dyDescent="0.3"/>
    <row r="990" s="1" customFormat="1" ht="14.25" customHeight="1" x14ac:dyDescent="0.3"/>
    <row r="991" s="1" customFormat="1" ht="14.25" customHeight="1" x14ac:dyDescent="0.3"/>
    <row r="992" s="1" customFormat="1" ht="14.25" customHeight="1" x14ac:dyDescent="0.3"/>
    <row r="993" s="1" customFormat="1" ht="14.25" customHeight="1" x14ac:dyDescent="0.3"/>
    <row r="994" s="1" customFormat="1" ht="14.25" customHeight="1" x14ac:dyDescent="0.3"/>
    <row r="995" s="1" customFormat="1" ht="14.25" customHeight="1" x14ac:dyDescent="0.3"/>
    <row r="996" s="1" customFormat="1" ht="14.25" customHeight="1" x14ac:dyDescent="0.3"/>
    <row r="997" s="1" customFormat="1" ht="14.25" customHeight="1" x14ac:dyDescent="0.3"/>
    <row r="998" s="1" customFormat="1" ht="14.25" customHeight="1" x14ac:dyDescent="0.3"/>
    <row r="999" s="1" customFormat="1" ht="14.25" customHeight="1" x14ac:dyDescent="0.3"/>
    <row r="1000" s="1" customFormat="1" ht="14.25" customHeight="1" x14ac:dyDescent="0.3"/>
  </sheetData>
  <autoFilter ref="A1:H101" xr:uid="{00000000-0009-0000-0000-000000000000}"/>
  <pageMargins left="0.7" right="0.7" top="0.75" bottom="0.75" header="0" footer="0"/>
  <pageSetup orientation="landscape"/>
  <drawing r:id="rId1"/>
  <legacyDrawing r:id="rId2"/>
  <controls>
    <mc:AlternateContent xmlns:mc="http://schemas.openxmlformats.org/markup-compatibility/2006">
      <mc:Choice Requires="x14">
        <control shapeId="3073" r:id="rId3" name="CommandButton1">
          <controlPr defaultSize="0" autoLine="0" r:id="rId4">
            <anchor moveWithCells="1">
              <from>
                <xdr:col>10</xdr:col>
                <xdr:colOff>0</xdr:colOff>
                <xdr:row>0</xdr:row>
                <xdr:rowOff>124691</xdr:rowOff>
              </from>
              <to>
                <xdr:col>11</xdr:col>
                <xdr:colOff>581891</xdr:colOff>
                <xdr:row>3</xdr:row>
                <xdr:rowOff>83127</xdr:rowOff>
              </to>
            </anchor>
          </controlPr>
        </control>
      </mc:Choice>
      <mc:Fallback>
        <control shapeId="3073" r:id="rId3"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CDBAE-AE6E-4932-9401-355C33AEB704}">
  <sheetPr codeName="Sheet3"/>
  <dimension ref="B1:N15"/>
  <sheetViews>
    <sheetView showGridLines="0" workbookViewId="0">
      <selection activeCell="B1" sqref="B1:N3"/>
    </sheetView>
  </sheetViews>
  <sheetFormatPr defaultRowHeight="15.05" x14ac:dyDescent="0.3"/>
  <cols>
    <col min="1" max="2" width="8.88671875" style="1"/>
    <col min="3" max="3" width="16.33203125" style="1" bestFit="1" customWidth="1"/>
    <col min="4" max="4" width="8.88671875" style="1"/>
    <col min="5" max="5" width="16.6640625" style="1" bestFit="1" customWidth="1"/>
    <col min="6" max="6" width="6.88671875" style="1" customWidth="1"/>
    <col min="7" max="7" width="17.88671875" style="1" customWidth="1"/>
    <col min="8" max="8" width="8.88671875" style="1"/>
    <col min="9" max="9" width="16.33203125" style="1" customWidth="1"/>
    <col min="10" max="16384" width="8.88671875" style="1"/>
  </cols>
  <sheetData>
    <row r="1" spans="2:14" x14ac:dyDescent="0.3">
      <c r="B1" s="11" t="s">
        <v>0</v>
      </c>
      <c r="C1" s="11"/>
      <c r="D1" s="11"/>
      <c r="E1" s="11"/>
      <c r="F1" s="11"/>
      <c r="G1" s="11"/>
      <c r="H1" s="11"/>
      <c r="I1" s="11"/>
      <c r="J1" s="11"/>
      <c r="K1" s="11"/>
      <c r="L1" s="11"/>
      <c r="M1" s="11"/>
      <c r="N1" s="11"/>
    </row>
    <row r="2" spans="2:14" x14ac:dyDescent="0.3">
      <c r="B2" s="11"/>
      <c r="C2" s="11"/>
      <c r="D2" s="11"/>
      <c r="E2" s="11"/>
      <c r="F2" s="11"/>
      <c r="G2" s="11"/>
      <c r="H2" s="11"/>
      <c r="I2" s="11"/>
      <c r="J2" s="11"/>
      <c r="K2" s="11"/>
      <c r="L2" s="11"/>
      <c r="M2" s="11"/>
      <c r="N2" s="11"/>
    </row>
    <row r="3" spans="2:14" x14ac:dyDescent="0.3">
      <c r="B3" s="11"/>
      <c r="C3" s="11"/>
      <c r="D3" s="11"/>
      <c r="E3" s="11"/>
      <c r="F3" s="11"/>
      <c r="G3" s="11"/>
      <c r="H3" s="11"/>
      <c r="I3" s="11"/>
      <c r="J3" s="11"/>
      <c r="K3" s="11"/>
      <c r="L3" s="11"/>
      <c r="M3" s="11"/>
      <c r="N3" s="11"/>
    </row>
    <row r="13" spans="2:14" ht="20.95" x14ac:dyDescent="0.4">
      <c r="C13" s="10"/>
    </row>
    <row r="14" spans="2:14" ht="45.2" x14ac:dyDescent="0.3">
      <c r="C14" s="7" t="s">
        <v>4</v>
      </c>
      <c r="D14" s="7"/>
      <c r="E14" s="7" t="s">
        <v>3</v>
      </c>
      <c r="F14" s="7"/>
      <c r="G14" s="9" t="s">
        <v>2</v>
      </c>
      <c r="H14" s="7"/>
      <c r="I14" s="8" t="s">
        <v>1</v>
      </c>
      <c r="J14" s="7"/>
    </row>
    <row r="15" spans="2:14" x14ac:dyDescent="0.3">
      <c r="C15" s="6">
        <v>110166.20113531366</v>
      </c>
      <c r="D15" s="5"/>
      <c r="E15" s="5">
        <v>100</v>
      </c>
      <c r="F15" s="5"/>
      <c r="G15" s="4">
        <f>'Projection_Registration count'!C39</f>
        <v>54.009305382980386</v>
      </c>
      <c r="H15" s="3"/>
      <c r="I15" s="2">
        <f>G15*(C15/E15)-Assumptions!$C$4-Assumptions!$C$6</f>
        <v>49999.999999999964</v>
      </c>
    </row>
  </sheetData>
  <mergeCells count="1">
    <mergeCell ref="B1:N3"/>
  </mergeCells>
  <pageMargins left="0.7" right="0.7" top="0.75" bottom="0.75" header="0.3" footer="0.3"/>
  <drawing r:id="rId3"/>
  <legacyDrawing r:id="rId4"/>
  <controls>
    <mc:AlternateContent xmlns:mc="http://schemas.openxmlformats.org/markup-compatibility/2006">
      <mc:Choice Requires="x14">
        <control shapeId="2049" r:id="rId5" name="RefreshButton">
          <controlPr defaultSize="0" autoLine="0" r:id="rId6">
            <anchor moveWithCells="1">
              <from>
                <xdr:col>14</xdr:col>
                <xdr:colOff>133004</xdr:colOff>
                <xdr:row>0</xdr:row>
                <xdr:rowOff>0</xdr:rowOff>
              </from>
              <to>
                <xdr:col>16</xdr:col>
                <xdr:colOff>0</xdr:colOff>
                <xdr:row>3</xdr:row>
                <xdr:rowOff>8313</xdr:rowOff>
              </to>
            </anchor>
          </controlPr>
        </control>
      </mc:Choice>
      <mc:Fallback>
        <control shapeId="2049" r:id="rId5" name="RefreshButton"/>
      </mc:Fallback>
    </mc:AlternateContent>
  </controls>
  <extLst>
    <ext xmlns:x14="http://schemas.microsoft.com/office/spreadsheetml/2009/9/main" uri="{A8765BA9-456A-4dab-B4F3-ACF838C121DE}">
      <x14:slicerList>
        <x14:slicer r:id="rId7"/>
      </x14:slicerList>
    </ext>
    <ext xmlns:x15="http://schemas.microsoft.com/office/spreadsheetml/2010/11/main" uri="{7E03D99C-DC04-49d9-9315-930204A7B6E9}">
      <x15:timelineRefs>
        <x15:timelineRef r:id="rId8"/>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A1456-F55B-4508-BFC7-77FFBDF3A0A4}">
  <dimension ref="A1"/>
  <sheetViews>
    <sheetView workbookViewId="0">
      <selection sqref="A1:M3"/>
    </sheetView>
  </sheetViews>
  <sheetFormatPr defaultRowHeight="15.05"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3541C-5E7F-4DD4-B27B-370BAF67B267}">
  <sheetPr codeName="Sheet2">
    <outlinePr summaryBelow="0" summaryRight="0"/>
  </sheetPr>
  <dimension ref="B1:H18"/>
  <sheetViews>
    <sheetView workbookViewId="0">
      <selection activeCell="G24" sqref="G24"/>
    </sheetView>
  </sheetViews>
  <sheetFormatPr defaultColWidth="14.44140625" defaultRowHeight="15.05" customHeight="1" x14ac:dyDescent="0.3"/>
  <cols>
    <col min="1" max="16384" width="14.44140625" style="1"/>
  </cols>
  <sheetData>
    <row r="1" spans="2:8" ht="15.05" customHeight="1" x14ac:dyDescent="0.3">
      <c r="C1" s="24" t="s">
        <v>18</v>
      </c>
      <c r="D1" s="24"/>
    </row>
    <row r="2" spans="2:8" x14ac:dyDescent="0.3">
      <c r="B2" s="21" t="s">
        <v>21</v>
      </c>
      <c r="C2" s="22">
        <v>50000</v>
      </c>
      <c r="D2" s="22"/>
      <c r="E2" s="1" t="s">
        <v>20</v>
      </c>
      <c r="F2" s="24" t="s">
        <v>19</v>
      </c>
      <c r="G2" s="24"/>
      <c r="H2" s="24" t="s">
        <v>18</v>
      </c>
    </row>
    <row r="3" spans="2:8" x14ac:dyDescent="0.3">
      <c r="B3" s="21"/>
      <c r="C3" s="21"/>
      <c r="D3" s="21"/>
      <c r="E3" s="1" t="s">
        <v>17</v>
      </c>
      <c r="F3" s="19">
        <f>H3*$F$12</f>
        <v>1116.010720618229</v>
      </c>
      <c r="H3" s="19">
        <v>280</v>
      </c>
    </row>
    <row r="4" spans="2:8" x14ac:dyDescent="0.3">
      <c r="B4" s="21" t="s">
        <v>16</v>
      </c>
      <c r="C4" s="20">
        <v>6500</v>
      </c>
      <c r="D4" s="20"/>
      <c r="E4" s="23" t="s">
        <v>15</v>
      </c>
      <c r="F4" s="19">
        <f>H4*$F$12</f>
        <v>1076.1531948818638</v>
      </c>
      <c r="H4" s="19">
        <v>270</v>
      </c>
    </row>
    <row r="5" spans="2:8" x14ac:dyDescent="0.3">
      <c r="B5" s="21"/>
      <c r="C5" s="22"/>
      <c r="D5" s="22"/>
      <c r="E5" s="1" t="s">
        <v>14</v>
      </c>
      <c r="F5" s="19">
        <f>H5*$F$12</f>
        <v>956.58061767276774</v>
      </c>
      <c r="H5" s="19">
        <v>240</v>
      </c>
    </row>
    <row r="6" spans="2:8" x14ac:dyDescent="0.3">
      <c r="B6" s="21" t="s">
        <v>13</v>
      </c>
      <c r="C6" s="20">
        <v>3000</v>
      </c>
      <c r="D6" s="20"/>
      <c r="E6" s="1" t="s">
        <v>12</v>
      </c>
      <c r="F6" s="19">
        <f>H6*$F$12</f>
        <v>1195.7257720909597</v>
      </c>
      <c r="H6" s="19">
        <v>300</v>
      </c>
    </row>
    <row r="8" spans="2:8" ht="15.05" customHeight="1" x14ac:dyDescent="0.3">
      <c r="B8" s="18" t="s">
        <v>11</v>
      </c>
      <c r="C8" s="18"/>
      <c r="D8" s="18"/>
      <c r="E8" s="18"/>
      <c r="F8" s="18"/>
      <c r="G8" s="18"/>
    </row>
    <row r="10" spans="2:8" ht="15.05" customHeight="1" x14ac:dyDescent="0.3">
      <c r="E10" s="1" t="s">
        <v>10</v>
      </c>
      <c r="G10" s="1" t="s">
        <v>9</v>
      </c>
    </row>
    <row r="12" spans="2:8" ht="15.05" customHeight="1" x14ac:dyDescent="0.3">
      <c r="B12" s="1" t="s">
        <v>8</v>
      </c>
      <c r="C12" s="17">
        <v>1101.6620113531374</v>
      </c>
      <c r="E12" s="17">
        <v>1101.6620113531374</v>
      </c>
      <c r="F12" s="1">
        <v>3.9857525736365322</v>
      </c>
      <c r="G12" s="16">
        <f>Summary!$F$33/Summary!$E$33</f>
        <v>1101.6620113531367</v>
      </c>
    </row>
    <row r="14" spans="2:8" ht="15.05" customHeight="1" x14ac:dyDescent="0.3">
      <c r="B14" s="1" t="s">
        <v>7</v>
      </c>
      <c r="C14" s="15">
        <f>C12*C18</f>
        <v>59500</v>
      </c>
      <c r="E14" s="15">
        <f>E12*E18</f>
        <v>59500</v>
      </c>
      <c r="G14" s="15">
        <f>G12*G18</f>
        <v>237152.27813137352</v>
      </c>
    </row>
    <row r="16" spans="2:8" ht="15.05" customHeight="1" x14ac:dyDescent="0.3">
      <c r="B16" s="1" t="s">
        <v>6</v>
      </c>
      <c r="C16" s="14">
        <f>C14-C4-C6</f>
        <v>50000</v>
      </c>
      <c r="E16" s="14">
        <f>E14-$C$4-$C$6</f>
        <v>50000</v>
      </c>
      <c r="G16" s="14">
        <f>G14-$C$4-$C$6</f>
        <v>227652.27813137352</v>
      </c>
    </row>
    <row r="18" spans="2:7" ht="15.05" customHeight="1" x14ac:dyDescent="0.3">
      <c r="B18" s="1" t="s">
        <v>5</v>
      </c>
      <c r="C18" s="13">
        <f>'Projection_Registration count'!$C$39</f>
        <v>54.009305382980386</v>
      </c>
      <c r="E18" s="13">
        <f>'Projection_Registration count'!$C$39</f>
        <v>54.009305382980386</v>
      </c>
      <c r="G18" s="12">
        <v>215.26772793053547</v>
      </c>
    </row>
  </sheetData>
  <mergeCells count="1">
    <mergeCell ref="B8:G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5D962-85D4-4BF3-BD85-3865FE7901C2}">
  <sheetPr codeName="Sheet5"/>
  <dimension ref="A1:F39"/>
  <sheetViews>
    <sheetView workbookViewId="0">
      <selection activeCell="F39" sqref="F39"/>
    </sheetView>
  </sheetViews>
  <sheetFormatPr defaultRowHeight="15.05" x14ac:dyDescent="0.3"/>
  <cols>
    <col min="1" max="1" width="27" style="1" customWidth="1"/>
    <col min="2" max="2" width="18.44140625" style="1" customWidth="1"/>
    <col min="3" max="3" width="27.33203125" style="1" customWidth="1"/>
    <col min="4" max="4" width="42" style="1" customWidth="1"/>
    <col min="5" max="5" width="42.109375" style="1" customWidth="1"/>
    <col min="6" max="6" width="11.5546875" style="1" bestFit="1" customWidth="1"/>
    <col min="7" max="16384" width="8.88671875" style="1"/>
  </cols>
  <sheetData>
    <row r="1" spans="1:6" x14ac:dyDescent="0.3">
      <c r="A1" s="1" t="s">
        <v>343</v>
      </c>
      <c r="B1" s="1" t="s">
        <v>342</v>
      </c>
      <c r="C1" s="1" t="s">
        <v>341</v>
      </c>
      <c r="D1" s="1" t="s">
        <v>340</v>
      </c>
      <c r="E1" s="1" t="s">
        <v>339</v>
      </c>
      <c r="F1" s="1" t="s">
        <v>7</v>
      </c>
    </row>
    <row r="2" spans="1:6" x14ac:dyDescent="0.3">
      <c r="A2" s="25">
        <v>44866</v>
      </c>
      <c r="B2" s="1">
        <v>1</v>
      </c>
    </row>
    <row r="3" spans="1:6" x14ac:dyDescent="0.3">
      <c r="A3" s="25">
        <v>44896</v>
      </c>
      <c r="B3" s="1">
        <v>4</v>
      </c>
    </row>
    <row r="4" spans="1:6" x14ac:dyDescent="0.3">
      <c r="A4" s="25">
        <v>44927</v>
      </c>
      <c r="B4" s="1">
        <v>3</v>
      </c>
    </row>
    <row r="5" spans="1:6" x14ac:dyDescent="0.3">
      <c r="A5" s="25">
        <v>44958</v>
      </c>
      <c r="B5" s="1">
        <v>8</v>
      </c>
    </row>
    <row r="6" spans="1:6" x14ac:dyDescent="0.3">
      <c r="A6" s="25">
        <v>44986</v>
      </c>
      <c r="B6" s="1">
        <v>1</v>
      </c>
    </row>
    <row r="7" spans="1:6" x14ac:dyDescent="0.3">
      <c r="A7" s="25">
        <v>45017</v>
      </c>
      <c r="B7" s="1">
        <v>6</v>
      </c>
    </row>
    <row r="8" spans="1:6" x14ac:dyDescent="0.3">
      <c r="A8" s="25">
        <v>45047</v>
      </c>
      <c r="B8" s="1">
        <v>3</v>
      </c>
    </row>
    <row r="9" spans="1:6" x14ac:dyDescent="0.3">
      <c r="A9" s="25">
        <v>45078</v>
      </c>
      <c r="B9" s="1">
        <v>2</v>
      </c>
    </row>
    <row r="10" spans="1:6" x14ac:dyDescent="0.3">
      <c r="A10" s="25">
        <v>45108</v>
      </c>
      <c r="B10" s="1">
        <v>5</v>
      </c>
    </row>
    <row r="11" spans="1:6" x14ac:dyDescent="0.3">
      <c r="A11" s="25">
        <v>45139</v>
      </c>
      <c r="B11" s="1">
        <v>3</v>
      </c>
    </row>
    <row r="12" spans="1:6" x14ac:dyDescent="0.3">
      <c r="A12" s="25">
        <v>45170</v>
      </c>
      <c r="B12" s="1">
        <v>3</v>
      </c>
    </row>
    <row r="13" spans="1:6" x14ac:dyDescent="0.3">
      <c r="A13" s="25">
        <v>45200</v>
      </c>
      <c r="B13" s="1">
        <v>4</v>
      </c>
    </row>
    <row r="14" spans="1:6" x14ac:dyDescent="0.3">
      <c r="A14" s="25">
        <v>45231</v>
      </c>
      <c r="B14" s="1">
        <v>2</v>
      </c>
    </row>
    <row r="15" spans="1:6" x14ac:dyDescent="0.3">
      <c r="A15" s="25">
        <v>45261</v>
      </c>
      <c r="B15" s="1">
        <v>2</v>
      </c>
    </row>
    <row r="16" spans="1:6" x14ac:dyDescent="0.3">
      <c r="A16" s="25">
        <v>45292</v>
      </c>
      <c r="B16" s="1">
        <v>7</v>
      </c>
    </row>
    <row r="17" spans="1:6" x14ac:dyDescent="0.3">
      <c r="A17" s="25">
        <v>45323</v>
      </c>
      <c r="B17" s="1">
        <v>9</v>
      </c>
    </row>
    <row r="18" spans="1:6" x14ac:dyDescent="0.3">
      <c r="A18" s="25">
        <v>45352</v>
      </c>
      <c r="B18" s="1">
        <v>5</v>
      </c>
    </row>
    <row r="19" spans="1:6" x14ac:dyDescent="0.3">
      <c r="A19" s="25">
        <v>45383</v>
      </c>
      <c r="B19" s="1">
        <v>3</v>
      </c>
    </row>
    <row r="20" spans="1:6" x14ac:dyDescent="0.3">
      <c r="A20" s="25">
        <v>45413</v>
      </c>
      <c r="B20" s="1">
        <v>3</v>
      </c>
    </row>
    <row r="21" spans="1:6" x14ac:dyDescent="0.3">
      <c r="A21" s="25">
        <v>45444</v>
      </c>
      <c r="B21" s="1">
        <v>6</v>
      </c>
    </row>
    <row r="22" spans="1:6" x14ac:dyDescent="0.3">
      <c r="A22" s="25">
        <v>45474</v>
      </c>
      <c r="B22" s="1">
        <v>3</v>
      </c>
    </row>
    <row r="23" spans="1:6" x14ac:dyDescent="0.3">
      <c r="A23" s="25">
        <v>45505</v>
      </c>
      <c r="B23" s="1">
        <v>7</v>
      </c>
    </row>
    <row r="24" spans="1:6" x14ac:dyDescent="0.3">
      <c r="A24" s="25">
        <v>45536</v>
      </c>
      <c r="B24" s="1">
        <v>2</v>
      </c>
    </row>
    <row r="25" spans="1:6" x14ac:dyDescent="0.3">
      <c r="A25" s="25">
        <v>45566</v>
      </c>
      <c r="B25" s="1">
        <v>6</v>
      </c>
    </row>
    <row r="26" spans="1:6" x14ac:dyDescent="0.3">
      <c r="A26" s="25">
        <v>45597</v>
      </c>
      <c r="B26" s="1">
        <v>2</v>
      </c>
      <c r="C26" s="1">
        <v>2</v>
      </c>
      <c r="D26" s="30">
        <v>2</v>
      </c>
      <c r="E26" s="30">
        <v>2</v>
      </c>
    </row>
    <row r="27" spans="1:6" x14ac:dyDescent="0.3">
      <c r="A27" s="25">
        <v>45627</v>
      </c>
      <c r="C27" s="1">
        <f>_xlfn.FORECAST.ETS(A27,$B$2:$B$26,$A$2:$A$26,1,1)</f>
        <v>4.2064691284812605</v>
      </c>
      <c r="D27" s="30">
        <f>C27-_xlfn.FORECAST.ETS.CONFINT(A27,$B$2:$B$26,$A$2:$A$26,0.95,1,1)</f>
        <v>-0.65722178184794799</v>
      </c>
      <c r="E27" s="30">
        <f>C27+_xlfn.FORECAST.ETS.CONFINT(A27,$B$2:$B$26,$A$2:$A$26,0.95,1,1)</f>
        <v>9.0701600388104691</v>
      </c>
      <c r="F27" s="15">
        <f>Table3[[#This Row],[Forecast('# of Registrations)]]*Assumptions!$C$12</f>
        <v>4634.1072407775446</v>
      </c>
    </row>
    <row r="28" spans="1:6" x14ac:dyDescent="0.3">
      <c r="A28" s="25">
        <v>45658</v>
      </c>
      <c r="C28" s="1">
        <f>_xlfn.FORECAST.ETS(A28,$B$2:$B$26,$A$2:$A$26,1,1)</f>
        <v>4.2599793684995166</v>
      </c>
      <c r="D28" s="30">
        <f>C28-_xlfn.FORECAST.ETS.CONFINT(A28,$B$2:$B$26,$A$2:$A$26,0.95,1,1)</f>
        <v>-0.75458030816154054</v>
      </c>
      <c r="E28" s="30">
        <f>C28+_xlfn.FORECAST.ETS.CONFINT(A28,$B$2:$B$26,$A$2:$A$26,0.95,1,1)</f>
        <v>9.2745390451605729</v>
      </c>
      <c r="F28" s="15">
        <f>Table3[[#This Row],[Forecast('# of Registrations)]]*Assumptions!$C$12</f>
        <v>4693.0574394240457</v>
      </c>
    </row>
    <row r="29" spans="1:6" x14ac:dyDescent="0.3">
      <c r="A29" s="25">
        <v>45689</v>
      </c>
      <c r="C29" s="1">
        <f>_xlfn.FORECAST.ETS(A29,$B$2:$B$26,$A$2:$A$26,1,1)</f>
        <v>4.3134896085177843</v>
      </c>
      <c r="D29" s="30">
        <f>C29-_xlfn.FORECAST.ETS.CONFINT(A29,$B$2:$B$26,$A$2:$A$26,0.95,1,1)</f>
        <v>-0.84868308730270048</v>
      </c>
      <c r="E29" s="30">
        <f>C29+_xlfn.FORECAST.ETS.CONFINT(A29,$B$2:$B$26,$A$2:$A$26,0.95,1,1)</f>
        <v>9.4756623043382682</v>
      </c>
      <c r="F29" s="15">
        <f>Table3[[#This Row],[Forecast('# of Registrations)]]*Assumptions!$C$12</f>
        <v>4752.0076380705596</v>
      </c>
    </row>
    <row r="30" spans="1:6" x14ac:dyDescent="0.3">
      <c r="A30" s="25">
        <v>45717</v>
      </c>
      <c r="C30" s="1">
        <f>_xlfn.FORECAST.ETS(A30,$B$2:$B$26,$A$2:$A$26,1,1)</f>
        <v>4.3669998485360404</v>
      </c>
      <c r="D30" s="30">
        <f>C30-_xlfn.FORECAST.ETS.CONFINT(A30,$B$2:$B$26,$A$2:$A$26,0.95,1,1)</f>
        <v>-0.93980626759784247</v>
      </c>
      <c r="E30" s="30">
        <f>C30+_xlfn.FORECAST.ETS.CONFINT(A30,$B$2:$B$26,$A$2:$A$26,0.95,1,1)</f>
        <v>9.6738059646699242</v>
      </c>
      <c r="F30" s="15">
        <f>Table3[[#This Row],[Forecast('# of Registrations)]]*Assumptions!$C$12</f>
        <v>4810.9578367170607</v>
      </c>
    </row>
    <row r="31" spans="1:6" x14ac:dyDescent="0.3">
      <c r="A31" s="25">
        <v>45748</v>
      </c>
      <c r="C31" s="1">
        <f>_xlfn.FORECAST.ETS(A31,$B$2:$B$26,$A$2:$A$26,1,1)</f>
        <v>4.420510088554308</v>
      </c>
      <c r="D31" s="30">
        <f>C31-_xlfn.FORECAST.ETS.CONFINT(A31,$B$2:$B$26,$A$2:$A$26,0.95,1,1)</f>
        <v>-1.0281914723735754</v>
      </c>
      <c r="E31" s="30">
        <f>C31+_xlfn.FORECAST.ETS.CONFINT(A31,$B$2:$B$26,$A$2:$A$26,0.95,1,1)</f>
        <v>9.8692116494821924</v>
      </c>
      <c r="F31" s="15">
        <f>Table3[[#This Row],[Forecast('# of Registrations)]]*Assumptions!$C$12</f>
        <v>4869.9080353635745</v>
      </c>
    </row>
    <row r="32" spans="1:6" x14ac:dyDescent="0.3">
      <c r="A32" s="25">
        <v>45778</v>
      </c>
      <c r="C32" s="1">
        <f>_xlfn.FORECAST.ETS(A32,$B$2:$B$26,$A$2:$A$26,1,1)</f>
        <v>4.4740203285725642</v>
      </c>
      <c r="D32" s="30">
        <f>C32-_xlfn.FORECAST.ETS.CONFINT(A32,$B$2:$B$26,$A$2:$A$26,0.95,1,1)</f>
        <v>-1.1140515115095733</v>
      </c>
      <c r="E32" s="30">
        <f>C32+_xlfn.FORECAST.ETS.CONFINT(A32,$B$2:$B$26,$A$2:$A$26,0.95,1,1)</f>
        <v>10.062092168654701</v>
      </c>
      <c r="F32" s="15">
        <f>Table3[[#This Row],[Forecast('# of Registrations)]]*Assumptions!$C$12</f>
        <v>4928.8582340100756</v>
      </c>
    </row>
    <row r="33" spans="1:6" x14ac:dyDescent="0.3">
      <c r="A33" s="25">
        <v>45809</v>
      </c>
      <c r="C33" s="1">
        <f>_xlfn.FORECAST.ETS(A33,$B$2:$B$26,$A$2:$A$26,1,1)</f>
        <v>4.5275305685908318</v>
      </c>
      <c r="D33" s="30">
        <f>C33-_xlfn.FORECAST.ETS.CONFINT(A33,$B$2:$B$26,$A$2:$A$26,0.95,1,1)</f>
        <v>-1.1975749356595111</v>
      </c>
      <c r="E33" s="30">
        <f>C33+_xlfn.FORECAST.ETS.CONFINT(A33,$B$2:$B$26,$A$2:$A$26,0.95,1,1)</f>
        <v>10.252636072841174</v>
      </c>
      <c r="F33" s="15">
        <f>Table3[[#This Row],[Forecast('# of Registrations)]]*Assumptions!$C$12</f>
        <v>4987.8084326565895</v>
      </c>
    </row>
    <row r="34" spans="1:6" x14ac:dyDescent="0.3">
      <c r="A34" s="25">
        <v>45839</v>
      </c>
      <c r="C34" s="1">
        <f>_xlfn.FORECAST.ETS(A34,$B$2:$B$26,$A$2:$A$26,1,1)</f>
        <v>4.5810408086090879</v>
      </c>
      <c r="D34" s="30">
        <f>C34-_xlfn.FORECAST.ETS.CONFINT(A34,$B$2:$B$26,$A$2:$A$26,0.95,1,1)</f>
        <v>-1.2789297071590857</v>
      </c>
      <c r="E34" s="30">
        <f>C34+_xlfn.FORECAST.ETS.CONFINT(A34,$B$2:$B$26,$A$2:$A$26,0.95,1,1)</f>
        <v>10.441011324377261</v>
      </c>
      <c r="F34" s="15">
        <f>Table3[[#This Row],[Forecast('# of Registrations)]]*Assumptions!$C$12</f>
        <v>5046.7586313030906</v>
      </c>
    </row>
    <row r="35" spans="1:6" x14ac:dyDescent="0.3">
      <c r="A35" s="25">
        <v>45870</v>
      </c>
      <c r="C35" s="1">
        <f>_xlfn.FORECAST.ETS(A35,$B$2:$B$26,$A$2:$A$26,1,1)</f>
        <v>4.6345510486273556</v>
      </c>
      <c r="D35" s="30">
        <f>C35-_xlfn.FORECAST.ETS.CONFINT(A35,$B$2:$B$26,$A$2:$A$26,0.95,1,1)</f>
        <v>-1.35826618815884</v>
      </c>
      <c r="E35" s="30">
        <f>C35+_xlfn.FORECAST.ETS.CONFINT(A35,$B$2:$B$26,$A$2:$A$26,0.95,1,1)</f>
        <v>10.627368285413551</v>
      </c>
      <c r="F35" s="15">
        <f>Table3[[#This Row],[Forecast('# of Registrations)]]*Assumptions!$C$12</f>
        <v>5105.7088299496045</v>
      </c>
    </row>
    <row r="36" spans="1:6" x14ac:dyDescent="0.3">
      <c r="A36" s="25">
        <v>45901</v>
      </c>
      <c r="C36" s="1">
        <f>_xlfn.FORECAST.ETS(A36,$B$2:$B$26,$A$2:$A$26,1,1)</f>
        <v>4.6880612886456117</v>
      </c>
      <c r="D36" s="30">
        <f>C36-_xlfn.FORECAST.ETS.CONFINT(A36,$B$2:$B$26,$A$2:$A$26,0.95,1,1)</f>
        <v>-1.4357195948710721</v>
      </c>
      <c r="E36" s="30">
        <f>C36+_xlfn.FORECAST.ETS.CONFINT(A36,$B$2:$B$26,$A$2:$A$26,0.95,1,1)</f>
        <v>10.811842172162295</v>
      </c>
      <c r="F36" s="15">
        <f>Table3[[#This Row],[Forecast('# of Registrations)]]*Assumptions!$C$12</f>
        <v>5164.6590285961056</v>
      </c>
    </row>
    <row r="37" spans="1:6" x14ac:dyDescent="0.3">
      <c r="A37" s="25">
        <v>45931</v>
      </c>
      <c r="C37" s="1">
        <f>_xlfn.FORECAST.ETS(A37,$B$2:$B$26,$A$2:$A$26,1,1)</f>
        <v>4.7415715286638793</v>
      </c>
      <c r="D37" s="30">
        <f>C37-_xlfn.FORECAST.ETS.CONFINT(A37,$B$2:$B$26,$A$2:$A$26,0.95,1,1)</f>
        <v>-1.5114120299310718</v>
      </c>
      <c r="E37" s="30">
        <f>C37+_xlfn.FORECAST.ETS.CONFINT(A37,$B$2:$B$26,$A$2:$A$26,0.95,1,1)</f>
        <v>10.994555087258831</v>
      </c>
      <c r="F37" s="15">
        <f>Table3[[#This Row],[Forecast('# of Registrations)]]*Assumptions!$C$12</f>
        <v>5223.6092272426195</v>
      </c>
    </row>
    <row r="38" spans="1:6" x14ac:dyDescent="0.3">
      <c r="A38" s="25">
        <v>45962</v>
      </c>
      <c r="C38" s="1">
        <f>_xlfn.FORECAST.ETS(A38,$B$2:$B$26,$A$2:$A$26,1,1)</f>
        <v>4.7950817686821354</v>
      </c>
      <c r="D38" s="30">
        <f>C38-_xlfn.FORECAST.ETS.CONFINT(A38,$B$2:$B$26,$A$2:$A$26,0.95,1,1)</f>
        <v>-1.5854541781411013</v>
      </c>
      <c r="E38" s="30">
        <f>C38+_xlfn.FORECAST.ETS.CONFINT(A38,$B$2:$B$26,$A$2:$A$26,0.95,1,1)</f>
        <v>11.175617715505371</v>
      </c>
      <c r="F38" s="15">
        <f>Table3[[#This Row],[Forecast('# of Registrations)]]*Assumptions!$C$12</f>
        <v>5282.5594258891206</v>
      </c>
    </row>
    <row r="39" spans="1:6" x14ac:dyDescent="0.3">
      <c r="A39" s="25"/>
      <c r="C39" s="31">
        <f>SUBTOTAL(9,C27:C38)</f>
        <v>54.009305382980386</v>
      </c>
      <c r="D39" s="30"/>
      <c r="E39" s="30"/>
      <c r="F39" s="15">
        <f>SUBTOTAL(9,F27:F38)</f>
        <v>59499.999999999985</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314C1-4273-436C-8556-EC286B46168A}">
  <sheetPr codeName="Sheet6"/>
  <dimension ref="B2:V50"/>
  <sheetViews>
    <sheetView showGridLines="0" tabSelected="1" workbookViewId="0">
      <selection activeCell="I50" sqref="I50"/>
    </sheetView>
  </sheetViews>
  <sheetFormatPr defaultRowHeight="15.05" x14ac:dyDescent="0.3"/>
  <cols>
    <col min="1" max="1" width="8.88671875" style="1"/>
    <col min="2" max="2" width="3.88671875" style="1" customWidth="1"/>
    <col min="3" max="3" width="11.88671875" style="1" bestFit="1" customWidth="1"/>
    <col min="4" max="5" width="9.88671875" style="1" bestFit="1" customWidth="1"/>
    <col min="6" max="6" width="16" style="1" bestFit="1" customWidth="1"/>
    <col min="7" max="19" width="8.88671875" style="1"/>
    <col min="20" max="20" width="9.6640625" style="1" bestFit="1" customWidth="1"/>
    <col min="21" max="16384" width="8.88671875" style="1"/>
  </cols>
  <sheetData>
    <row r="2" spans="2:22" x14ac:dyDescent="0.3">
      <c r="B2" s="35"/>
    </row>
    <row r="4" spans="2:22" x14ac:dyDescent="0.3">
      <c r="C4" s="34" t="s">
        <v>368</v>
      </c>
      <c r="D4" s="34" t="s">
        <v>367</v>
      </c>
      <c r="E4" s="1" t="s">
        <v>345</v>
      </c>
      <c r="F4" s="1" t="s">
        <v>347</v>
      </c>
      <c r="T4" s="1" t="s">
        <v>343</v>
      </c>
      <c r="U4" s="1" t="s">
        <v>342</v>
      </c>
      <c r="V4" s="1" t="s">
        <v>366</v>
      </c>
    </row>
    <row r="5" spans="2:22" x14ac:dyDescent="0.3">
      <c r="C5" s="1" t="s">
        <v>365</v>
      </c>
      <c r="D5" s="1" t="s">
        <v>349</v>
      </c>
      <c r="E5" s="1">
        <v>1</v>
      </c>
      <c r="F5" s="14">
        <v>1116.010720618229</v>
      </c>
      <c r="T5" s="25">
        <v>44866</v>
      </c>
      <c r="U5" s="1">
        <f>E5</f>
        <v>1</v>
      </c>
      <c r="V5" s="1">
        <f>F5</f>
        <v>1116.010720618229</v>
      </c>
    </row>
    <row r="6" spans="2:22" x14ac:dyDescent="0.3">
      <c r="D6" s="1" t="s">
        <v>362</v>
      </c>
      <c r="E6" s="1">
        <v>4</v>
      </c>
      <c r="F6" s="14">
        <v>4623.472985418377</v>
      </c>
      <c r="T6" s="25">
        <f>EDATE(T5,1)</f>
        <v>44896</v>
      </c>
      <c r="U6" s="1">
        <f>E6</f>
        <v>4</v>
      </c>
      <c r="V6" s="1">
        <f>F6</f>
        <v>4623.472985418377</v>
      </c>
    </row>
    <row r="7" spans="2:22" x14ac:dyDescent="0.3">
      <c r="C7" s="1" t="s">
        <v>364</v>
      </c>
      <c r="E7" s="1">
        <v>5</v>
      </c>
      <c r="F7" s="14">
        <v>5739.4837060366062</v>
      </c>
      <c r="T7" s="25">
        <f>EDATE(T6,1)</f>
        <v>44927</v>
      </c>
      <c r="U7" s="1">
        <f>E8</f>
        <v>3</v>
      </c>
      <c r="V7" s="1">
        <f>F8</f>
        <v>3268.3171103819564</v>
      </c>
    </row>
    <row r="8" spans="2:22" x14ac:dyDescent="0.3">
      <c r="C8" s="1" t="s">
        <v>363</v>
      </c>
      <c r="D8" s="1" t="s">
        <v>359</v>
      </c>
      <c r="E8" s="1">
        <v>3</v>
      </c>
      <c r="F8" s="14">
        <v>3268.3171103819564</v>
      </c>
      <c r="T8" s="25">
        <f>EDATE(T7,1)</f>
        <v>44958</v>
      </c>
      <c r="U8" s="1">
        <f>E9</f>
        <v>8</v>
      </c>
      <c r="V8" s="1">
        <f>F9</f>
        <v>8688.9406105276394</v>
      </c>
    </row>
    <row r="9" spans="2:22" x14ac:dyDescent="0.3">
      <c r="D9" s="1" t="s">
        <v>358</v>
      </c>
      <c r="E9" s="1">
        <v>8</v>
      </c>
      <c r="F9" s="14">
        <v>8688.9406105276394</v>
      </c>
      <c r="T9" s="25">
        <f>EDATE(T8,1)</f>
        <v>44986</v>
      </c>
      <c r="U9" s="1">
        <f>E10</f>
        <v>1</v>
      </c>
      <c r="V9" s="1">
        <f>F10</f>
        <v>1195.7257720909597</v>
      </c>
    </row>
    <row r="10" spans="2:22" x14ac:dyDescent="0.3">
      <c r="D10" s="1" t="s">
        <v>357</v>
      </c>
      <c r="E10" s="1">
        <v>1</v>
      </c>
      <c r="F10" s="14">
        <v>1195.7257720909597</v>
      </c>
      <c r="T10" s="25">
        <f>EDATE(T9,1)</f>
        <v>45017</v>
      </c>
      <c r="U10" s="1">
        <f>E11</f>
        <v>6</v>
      </c>
      <c r="V10" s="1">
        <f>F11</f>
        <v>6656.2067979730091</v>
      </c>
    </row>
    <row r="11" spans="2:22" x14ac:dyDescent="0.3">
      <c r="D11" s="1" t="s">
        <v>356</v>
      </c>
      <c r="E11" s="1">
        <v>6</v>
      </c>
      <c r="F11" s="14">
        <v>6656.2067979730091</v>
      </c>
      <c r="T11" s="25">
        <f>EDATE(T10,1)</f>
        <v>45047</v>
      </c>
      <c r="U11" s="1">
        <f>E12</f>
        <v>3</v>
      </c>
      <c r="V11" s="1">
        <f>F12</f>
        <v>3148.7445331728604</v>
      </c>
    </row>
    <row r="12" spans="2:22" x14ac:dyDescent="0.3">
      <c r="D12" s="1" t="s">
        <v>355</v>
      </c>
      <c r="E12" s="1">
        <v>3</v>
      </c>
      <c r="F12" s="14">
        <v>3148.7445331728604</v>
      </c>
      <c r="T12" s="25">
        <f>EDATE(T11,1)</f>
        <v>45078</v>
      </c>
      <c r="U12" s="1">
        <f>E13</f>
        <v>2</v>
      </c>
      <c r="V12" s="1">
        <f>F13</f>
        <v>2192.163915500093</v>
      </c>
    </row>
    <row r="13" spans="2:22" x14ac:dyDescent="0.3">
      <c r="D13" s="1" t="s">
        <v>354</v>
      </c>
      <c r="E13" s="1">
        <v>2</v>
      </c>
      <c r="F13" s="14">
        <v>2192.163915500093</v>
      </c>
      <c r="T13" s="25">
        <f>EDATE(T12,1)</f>
        <v>45108</v>
      </c>
      <c r="U13" s="1">
        <f>E14</f>
        <v>5</v>
      </c>
      <c r="V13" s="1">
        <f>F14</f>
        <v>5580.0536030911444</v>
      </c>
    </row>
    <row r="14" spans="2:22" x14ac:dyDescent="0.3">
      <c r="D14" s="1" t="s">
        <v>353</v>
      </c>
      <c r="E14" s="1">
        <v>5</v>
      </c>
      <c r="F14" s="14">
        <v>5580.0536030911444</v>
      </c>
      <c r="T14" s="25">
        <f>EDATE(T13,1)</f>
        <v>45139</v>
      </c>
      <c r="U14" s="1">
        <f>E15</f>
        <v>3</v>
      </c>
      <c r="V14" s="1">
        <f>F15</f>
        <v>3268.3171103819564</v>
      </c>
    </row>
    <row r="15" spans="2:22" x14ac:dyDescent="0.3">
      <c r="D15" s="1" t="s">
        <v>352</v>
      </c>
      <c r="E15" s="1">
        <v>3</v>
      </c>
      <c r="F15" s="14">
        <v>3268.3171103819564</v>
      </c>
      <c r="T15" s="25">
        <f>EDATE(T14,1)</f>
        <v>45170</v>
      </c>
      <c r="U15" s="1">
        <f>E16</f>
        <v>3</v>
      </c>
      <c r="V15" s="1">
        <f>F16</f>
        <v>3268.3171103819564</v>
      </c>
    </row>
    <row r="16" spans="2:22" x14ac:dyDescent="0.3">
      <c r="D16" s="1" t="s">
        <v>351</v>
      </c>
      <c r="E16" s="1">
        <v>3</v>
      </c>
      <c r="F16" s="14">
        <v>3268.3171103819564</v>
      </c>
      <c r="T16" s="25">
        <f>EDATE(T15,1)</f>
        <v>45200</v>
      </c>
      <c r="U16" s="1">
        <f>E17</f>
        <v>4</v>
      </c>
      <c r="V16" s="1">
        <f>F17</f>
        <v>4464.0428824729161</v>
      </c>
    </row>
    <row r="17" spans="3:22" x14ac:dyDescent="0.3">
      <c r="D17" s="1" t="s">
        <v>350</v>
      </c>
      <c r="E17" s="1">
        <v>4</v>
      </c>
      <c r="F17" s="14">
        <v>4464.0428824729161</v>
      </c>
      <c r="T17" s="25">
        <f>EDATE(T16,1)</f>
        <v>45231</v>
      </c>
      <c r="U17" s="1">
        <f>E18</f>
        <v>2</v>
      </c>
      <c r="V17" s="1">
        <f>F18</f>
        <v>2271.8789669728235</v>
      </c>
    </row>
    <row r="18" spans="3:22" x14ac:dyDescent="0.3">
      <c r="D18" s="1" t="s">
        <v>349</v>
      </c>
      <c r="E18" s="1">
        <v>2</v>
      </c>
      <c r="F18" s="14">
        <v>2271.8789669728235</v>
      </c>
      <c r="T18" s="25">
        <f>EDATE(T17,1)</f>
        <v>45261</v>
      </c>
      <c r="U18" s="1">
        <f>E19</f>
        <v>2</v>
      </c>
      <c r="V18" s="1">
        <f>F19</f>
        <v>2072.5913382909966</v>
      </c>
    </row>
    <row r="19" spans="3:22" x14ac:dyDescent="0.3">
      <c r="D19" s="1" t="s">
        <v>362</v>
      </c>
      <c r="E19" s="1">
        <v>2</v>
      </c>
      <c r="F19" s="14">
        <v>2072.5913382909966</v>
      </c>
      <c r="T19" s="25">
        <f>EDATE(T18,1)</f>
        <v>45292</v>
      </c>
      <c r="U19" s="1">
        <f>E21</f>
        <v>7</v>
      </c>
      <c r="V19" s="1">
        <f>F21</f>
        <v>8051.2201987457956</v>
      </c>
    </row>
    <row r="20" spans="3:22" x14ac:dyDescent="0.3">
      <c r="C20" s="1" t="s">
        <v>361</v>
      </c>
      <c r="E20" s="1">
        <v>42</v>
      </c>
      <c r="F20" s="14">
        <v>46075.29975123833</v>
      </c>
      <c r="T20" s="25">
        <f>EDATE(T19,1)</f>
        <v>45323</v>
      </c>
      <c r="U20" s="1">
        <f>E22</f>
        <v>9</v>
      </c>
      <c r="V20" s="1">
        <f>F22</f>
        <v>9924.5239083549659</v>
      </c>
    </row>
    <row r="21" spans="3:22" x14ac:dyDescent="0.3">
      <c r="C21" s="1" t="s">
        <v>360</v>
      </c>
      <c r="D21" s="1" t="s">
        <v>359</v>
      </c>
      <c r="E21" s="1">
        <v>7</v>
      </c>
      <c r="F21" s="14">
        <v>8051.2201987457956</v>
      </c>
      <c r="T21" s="25">
        <f>EDATE(T20,1)</f>
        <v>45352</v>
      </c>
      <c r="U21" s="1">
        <f>E23</f>
        <v>5</v>
      </c>
      <c r="V21" s="1">
        <f>F23</f>
        <v>5540.1960773547798</v>
      </c>
    </row>
    <row r="22" spans="3:22" x14ac:dyDescent="0.3">
      <c r="D22" s="1" t="s">
        <v>358</v>
      </c>
      <c r="E22" s="1">
        <v>9</v>
      </c>
      <c r="F22" s="14">
        <v>9924.5239083549659</v>
      </c>
      <c r="T22" s="25">
        <f>EDATE(T21,1)</f>
        <v>45383</v>
      </c>
      <c r="U22" s="1">
        <f>E24</f>
        <v>3</v>
      </c>
      <c r="V22" s="1">
        <f>F24</f>
        <v>3507.4622648001487</v>
      </c>
    </row>
    <row r="23" spans="3:22" x14ac:dyDescent="0.3">
      <c r="D23" s="1" t="s">
        <v>357</v>
      </c>
      <c r="E23" s="1">
        <v>5</v>
      </c>
      <c r="F23" s="14">
        <v>5540.1960773547798</v>
      </c>
      <c r="T23" s="25">
        <f>EDATE(T22,1)</f>
        <v>45413</v>
      </c>
      <c r="U23" s="1">
        <f>E25</f>
        <v>3</v>
      </c>
      <c r="V23" s="1">
        <f>F25</f>
        <v>3427.7472133274177</v>
      </c>
    </row>
    <row r="24" spans="3:22" x14ac:dyDescent="0.3">
      <c r="D24" s="1" t="s">
        <v>356</v>
      </c>
      <c r="E24" s="1">
        <v>3</v>
      </c>
      <c r="F24" s="14">
        <v>3507.4622648001487</v>
      </c>
      <c r="T24" s="25">
        <f>EDATE(T23,1)</f>
        <v>45444</v>
      </c>
      <c r="U24" s="1">
        <f>E26</f>
        <v>6</v>
      </c>
      <c r="V24" s="1">
        <f>F26</f>
        <v>6417.0616435548172</v>
      </c>
    </row>
    <row r="25" spans="3:22" x14ac:dyDescent="0.3">
      <c r="D25" s="1" t="s">
        <v>355</v>
      </c>
      <c r="E25" s="1">
        <v>3</v>
      </c>
      <c r="F25" s="14">
        <v>3427.7472133274177</v>
      </c>
      <c r="T25" s="25">
        <f>EDATE(T24,1)</f>
        <v>45474</v>
      </c>
      <c r="U25" s="1">
        <f>E27</f>
        <v>3</v>
      </c>
      <c r="V25" s="1">
        <f>F27</f>
        <v>3348.0321618546873</v>
      </c>
    </row>
    <row r="26" spans="3:22" x14ac:dyDescent="0.3">
      <c r="D26" s="1" t="s">
        <v>354</v>
      </c>
      <c r="E26" s="1">
        <v>6</v>
      </c>
      <c r="F26" s="14">
        <v>6417.0616435548172</v>
      </c>
      <c r="T26" s="25">
        <f>EDATE(T25,1)</f>
        <v>45505</v>
      </c>
      <c r="U26" s="1">
        <f>E28</f>
        <v>7</v>
      </c>
      <c r="V26" s="1">
        <f>F28</f>
        <v>7333.7847354912201</v>
      </c>
    </row>
    <row r="27" spans="3:22" x14ac:dyDescent="0.3">
      <c r="D27" s="1" t="s">
        <v>353</v>
      </c>
      <c r="E27" s="1">
        <v>3</v>
      </c>
      <c r="F27" s="14">
        <v>3348.0321618546873</v>
      </c>
      <c r="T27" s="25">
        <f>EDATE(T26,1)</f>
        <v>45536</v>
      </c>
      <c r="U27" s="1">
        <f>E29</f>
        <v>2</v>
      </c>
      <c r="V27" s="1">
        <f>F29</f>
        <v>2072.5913382909966</v>
      </c>
    </row>
    <row r="28" spans="3:22" x14ac:dyDescent="0.3">
      <c r="D28" s="1" t="s">
        <v>352</v>
      </c>
      <c r="E28" s="1">
        <v>7</v>
      </c>
      <c r="F28" s="14">
        <v>7333.7847354912201</v>
      </c>
      <c r="T28" s="25">
        <f>EDATE(T27,1)</f>
        <v>45566</v>
      </c>
      <c r="U28" s="1">
        <f>E30</f>
        <v>6</v>
      </c>
      <c r="V28" s="1">
        <f>F30</f>
        <v>6696.0643237093736</v>
      </c>
    </row>
    <row r="29" spans="3:22" x14ac:dyDescent="0.3">
      <c r="D29" s="1" t="s">
        <v>351</v>
      </c>
      <c r="E29" s="1">
        <v>2</v>
      </c>
      <c r="F29" s="14">
        <v>2072.5913382909966</v>
      </c>
      <c r="T29" s="25">
        <f>EDATE(T28,1)</f>
        <v>45597</v>
      </c>
      <c r="U29" s="1">
        <f>E31</f>
        <v>2</v>
      </c>
      <c r="V29" s="1">
        <f>F31</f>
        <v>2032.7338125546316</v>
      </c>
    </row>
    <row r="30" spans="3:22" x14ac:dyDescent="0.3">
      <c r="D30" s="1" t="s">
        <v>350</v>
      </c>
      <c r="E30" s="1">
        <v>6</v>
      </c>
      <c r="F30" s="14">
        <v>6696.0643237093736</v>
      </c>
    </row>
    <row r="31" spans="3:22" x14ac:dyDescent="0.3">
      <c r="D31" s="1" t="s">
        <v>349</v>
      </c>
      <c r="E31" s="1">
        <v>2</v>
      </c>
      <c r="F31" s="14">
        <v>2032.7338125546316</v>
      </c>
    </row>
    <row r="32" spans="3:22" x14ac:dyDescent="0.3">
      <c r="C32" s="1" t="s">
        <v>348</v>
      </c>
      <c r="E32" s="1">
        <v>53</v>
      </c>
      <c r="F32" s="14">
        <v>58351.417678038881</v>
      </c>
    </row>
    <row r="33" spans="3:6" x14ac:dyDescent="0.3">
      <c r="C33" s="1" t="s">
        <v>344</v>
      </c>
      <c r="E33" s="1">
        <v>100</v>
      </c>
      <c r="F33" s="14">
        <v>110166.20113531366</v>
      </c>
    </row>
    <row r="37" spans="3:6" x14ac:dyDescent="0.3">
      <c r="C37" s="34" t="s">
        <v>346</v>
      </c>
      <c r="D37" s="1" t="s">
        <v>347</v>
      </c>
    </row>
    <row r="38" spans="3:6" x14ac:dyDescent="0.3">
      <c r="C38" s="33" t="s">
        <v>28</v>
      </c>
      <c r="D38" s="14">
        <v>39538.665530474405</v>
      </c>
    </row>
    <row r="39" spans="3:6" x14ac:dyDescent="0.3">
      <c r="C39" s="33" t="s">
        <v>24</v>
      </c>
      <c r="D39" s="14">
        <v>40375.673570938081</v>
      </c>
    </row>
    <row r="40" spans="3:6" x14ac:dyDescent="0.3">
      <c r="C40" s="33" t="s">
        <v>32</v>
      </c>
      <c r="D40" s="14">
        <v>30251.862033901274</v>
      </c>
    </row>
    <row r="41" spans="3:6" x14ac:dyDescent="0.3">
      <c r="C41" s="33" t="s">
        <v>344</v>
      </c>
      <c r="D41" s="14">
        <v>110166.20113531375</v>
      </c>
    </row>
    <row r="47" spans="3:6" x14ac:dyDescent="0.3">
      <c r="C47" s="34" t="s">
        <v>346</v>
      </c>
      <c r="D47" s="1" t="s">
        <v>345</v>
      </c>
    </row>
    <row r="48" spans="3:6" x14ac:dyDescent="0.3">
      <c r="C48" s="33" t="s">
        <v>23</v>
      </c>
      <c r="D48" s="32">
        <v>0.59</v>
      </c>
    </row>
    <row r="49" spans="3:4" x14ac:dyDescent="0.3">
      <c r="C49" s="33" t="s">
        <v>37</v>
      </c>
      <c r="D49" s="32">
        <v>0.41</v>
      </c>
    </row>
    <row r="50" spans="3:4" x14ac:dyDescent="0.3">
      <c r="C50" s="33" t="s">
        <v>344</v>
      </c>
      <c r="D50" s="32">
        <v>1</v>
      </c>
    </row>
  </sheetData>
  <pageMargins left="0.7" right="0.7" top="0.75" bottom="0.75" header="0.3" footer="0.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Event_Data_Updated</vt:lpstr>
      <vt:lpstr>Event Dashboard</vt:lpstr>
      <vt:lpstr>Sheet1</vt:lpstr>
      <vt:lpstr>Assumptions</vt:lpstr>
      <vt:lpstr>Projection_Registration count</vt:lpstr>
      <vt:lpstr>Summary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Manuel Blas Sanchez</dc:creator>
  <cp:lastModifiedBy>Jose Manuel Blas Sanchez</cp:lastModifiedBy>
  <dcterms:created xsi:type="dcterms:W3CDTF">2025-02-02T11:36:43Z</dcterms:created>
  <dcterms:modified xsi:type="dcterms:W3CDTF">2025-02-02T11:38:21Z</dcterms:modified>
</cp:coreProperties>
</file>